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2.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929"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Steve\source\repos\multibrowsers\multibrowsers\bin\Debug\"/>
    </mc:Choice>
  </mc:AlternateContent>
  <xr:revisionPtr revIDLastSave="0" documentId="13_ncr:1_{A8EB6405-C0A9-4C6D-8644-FD9D0B4F05BA}" xr6:coauthVersionLast="46" xr6:coauthVersionMax="46" xr10:uidLastSave="{00000000-0000-0000-0000-000000000000}"/>
  <bookViews>
    <workbookView xWindow="11568" yWindow="672" windowWidth="11364" windowHeight="11652" activeTab="1" xr2:uid="{00000000-000D-0000-FFFF-FFFF00000000}"/>
  </bookViews>
  <sheets>
    <sheet name="words" sheetId="4" r:id="rId1"/>
    <sheet name="工作表1" sheetId="1" r:id="rId2"/>
    <sheet name="工作表2" sheetId="2" r:id="rId3"/>
    <sheet name="工作表3" sheetId="5" r:id="rId4"/>
  </sheets>
  <functionGroups builtInGroupCount="19"/>
  <definedNames>
    <definedName name="answer">工作表1!$P$1</definedName>
    <definedName name="output">工作表1!$E$10</definedName>
    <definedName name="outputanswer">工作表1!$H$6</definedName>
    <definedName name="selectanswer">工作表1!$G$12</definedName>
    <definedName name="Total">工作表1!$E$12</definedName>
    <definedName name="view">工作表1!$H$2:$L$5</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1" i="1" l="1"/>
  <c r="D1" i="1" s="1"/>
  <c r="E3" i="1" l="1"/>
  <c r="E4" i="1"/>
  <c r="E5" i="1"/>
  <c r="E6" i="1"/>
  <c r="E7" i="1"/>
  <c r="E8" i="1"/>
  <c r="E2" i="1"/>
  <c r="B1" i="1"/>
  <c r="G6" i="1" l="1"/>
  <c r="M1" i="5"/>
  <c r="A1" i="1" l="1"/>
  <c r="K7" i="4"/>
  <c r="G8" i="1" l="1"/>
  <c r="G3" i="1" l="1"/>
  <c r="G4" i="1"/>
  <c r="G5" i="1"/>
  <c r="G7" i="1"/>
  <c r="G2" i="1"/>
  <c r="A7" i="1" l="1"/>
  <c r="A2" i="1"/>
  <c r="A4" i="1"/>
  <c r="A5" i="1"/>
  <c r="B5" i="1" s="1"/>
  <c r="A3" i="1"/>
  <c r="B3" i="1" s="1"/>
  <c r="A8" i="1"/>
  <c r="B8" i="1" s="1"/>
  <c r="A6" i="1"/>
  <c r="B6" i="1" l="1"/>
  <c r="B4" i="1"/>
  <c r="B2" i="1"/>
  <c r="B7" i="1"/>
  <c r="E1" i="1" l="1" a="1"/>
  <c r="E1" i="1" s="1"/>
  <c r="Q1" i="1" l="1"/>
  <c r="P1"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<sst xmlns="http://schemas.openxmlformats.org/spreadsheetml/2006/main" count="710" uniqueCount="691">
  <si>
    <t>A</t>
    <phoneticPr fontId="1" type="noConversion"/>
  </si>
  <si>
    <t>B</t>
    <phoneticPr fontId="1" type="noConversion"/>
  </si>
  <si>
    <t>C</t>
    <phoneticPr fontId="1" type="noConversion"/>
  </si>
  <si>
    <t>D</t>
    <phoneticPr fontId="1" type="noConversion"/>
  </si>
  <si>
    <t>all</t>
    <phoneticPr fontId="1" type="noConversion"/>
  </si>
  <si>
    <t xml:space="preserve">which statement is correct of Brick or block
pavings. </t>
    <phoneticPr fontId="1" type="noConversion"/>
  </si>
  <si>
    <t>E</t>
    <phoneticPr fontId="1" type="noConversion"/>
  </si>
  <si>
    <t>F</t>
    <phoneticPr fontId="1" type="noConversion"/>
  </si>
  <si>
    <t>G</t>
    <phoneticPr fontId="1" type="noConversion"/>
  </si>
  <si>
    <t>kg</t>
    <phoneticPr fontId="1" type="noConversion"/>
  </si>
  <si>
    <t>cubic metres</t>
  </si>
  <si>
    <t>number or sets.</t>
    <phoneticPr fontId="1" type="noConversion"/>
  </si>
  <si>
    <t>II GENERAL PRINCIPLES
Items given by weight</t>
    <phoneticPr fontId="1" type="noConversion"/>
  </si>
  <si>
    <t>II GENERAL PRINCIPLES Items given cube</t>
    <phoneticPr fontId="1" type="noConversion"/>
  </si>
  <si>
    <t>II GENERAL PRINCIPLES Items enumerated</t>
    <phoneticPr fontId="1" type="noConversion"/>
  </si>
  <si>
    <t>II GENERAL PRINCIPLES 
UNITS OF BILLING statement are correct</t>
    <phoneticPr fontId="1" type="noConversion"/>
  </si>
  <si>
    <t xml:space="preserve">7.1 Where the unit of billing is the metre, quantities shall be billed to the nearest whole unit. Fractions of a unit
less than half shall be disregarded and all other fractions shall be regarded as whole units
</t>
    <phoneticPr fontId="1" type="noConversion"/>
  </si>
  <si>
    <t>7.1 &amp; 7.2</t>
    <phoneticPr fontId="1" type="noConversion"/>
  </si>
  <si>
    <t>all are wrong</t>
    <phoneticPr fontId="1" type="noConversion"/>
  </si>
  <si>
    <t>length,
width and height.</t>
    <phoneticPr fontId="1" type="noConversion"/>
  </si>
  <si>
    <t xml:space="preserve">All cutting and waste;
</t>
    <phoneticPr fontId="1" type="noConversion"/>
  </si>
  <si>
    <t>II GENERAL PRINCIPLES 
UNITS OF BILLING statement are correct</t>
    <phoneticPr fontId="1" type="noConversion"/>
  </si>
  <si>
    <t xml:space="preserve">II GENERAL PRINCIPLES 9. ORDER OF DIMENSIONS
9.1 In giving dimensions the order should be consistent, and generally in the sequence of </t>
    <phoneticPr fontId="1" type="noConversion"/>
  </si>
  <si>
    <t>II GENERAL PRINCIPLES COSTS HELD TO BE INCLUDED IN ITEMS</t>
    <phoneticPr fontId="1" type="noConversion"/>
  </si>
  <si>
    <t xml:space="preserve">II GENERAL PRINCIPLES 14. DAYWORKS
14.1 As Contractors have differing practices in:
</t>
    <phoneticPr fontId="1" type="noConversion"/>
  </si>
  <si>
    <t>(a) the number of hours included in a normal working day;</t>
    <phoneticPr fontId="1" type="noConversion"/>
  </si>
  <si>
    <t xml:space="preserve">II GENERAL PRINCIPLES 14. DAYWORKS
14.1 As Contractors have differing practices in:
</t>
    <phoneticPr fontId="1" type="noConversion"/>
  </si>
  <si>
    <t>II GENERAL PRINCIPLES 14. DAYWORKS
14.1 As Contractors have differing practices in:
the number of hours included in a  ?</t>
    <phoneticPr fontId="1" type="noConversion"/>
  </si>
  <si>
    <t xml:space="preserve">II GENERAL PRINCIPLES 14. DAYWORKS
14.1 As Contractors have differing practices in:
payment of overtime rates for hours worked in ?
</t>
    <phoneticPr fontId="1" type="noConversion"/>
  </si>
  <si>
    <t>Sundays and Labour Holidays</t>
    <phoneticPr fontId="1" type="noConversion"/>
  </si>
  <si>
    <t>excess of a normal working day</t>
    <phoneticPr fontId="1" type="noConversion"/>
  </si>
  <si>
    <t>normal working day</t>
    <phoneticPr fontId="1" type="noConversion"/>
  </si>
  <si>
    <t xml:space="preserve">II GENERAL PRINCIPLES 14. DAYWORKS
14.1 As Contractors have differing practices in:
payment of overtime rates for 
</t>
    <phoneticPr fontId="1" type="noConversion"/>
  </si>
  <si>
    <t xml:space="preserve">II GENERAL PRINCIPLES 14.2 Labour shall be paid for on an hourly basis, in the manner suggested above. There should be no further percentage addition on , the quoted labour rates which will be deemed to include for:
</t>
    <phoneticPr fontId="1" type="noConversion"/>
  </si>
  <si>
    <t>(b) Site supervision, including the cost of foremen and walking gangers and staff insurances;</t>
    <phoneticPr fontId="1" type="noConversion"/>
  </si>
  <si>
    <t xml:space="preserve">II GENERAL PRINCIPLES 14.2 Labour shall be paid for on an hourly basis, in the manner suggested above. There should be no further percentage addition on , the quoted labour rates which will be deemed to include for:
</t>
    <phoneticPr fontId="1" type="noConversion"/>
  </si>
  <si>
    <t>include</t>
    <phoneticPr fontId="1" type="noConversion"/>
  </si>
  <si>
    <r>
      <t xml:space="preserve">II GENERAL PRINCIPLES 14.3 The costs of materials in dayworks shall be the nett invoiced costs, </t>
    </r>
    <r>
      <rPr>
        <u/>
        <sz val="12"/>
        <color theme="1"/>
        <rFont val="新細明體"/>
        <family val="1"/>
        <charset val="136"/>
        <scheme val="minor"/>
      </rPr>
      <t xml:space="preserve">            </t>
    </r>
    <r>
      <rPr>
        <sz val="12"/>
        <color theme="1"/>
        <rFont val="新細明體"/>
        <family val="2"/>
        <charset val="136"/>
        <scheme val="minor"/>
      </rPr>
      <t>delivery to site.</t>
    </r>
    <phoneticPr fontId="1" type="noConversion"/>
  </si>
  <si>
    <t>exclude</t>
    <phoneticPr fontId="1" type="noConversion"/>
  </si>
  <si>
    <r>
      <t>II GENERAL PRINCIPLES 14.4 The costs of construction plant and vehicles (</t>
    </r>
    <r>
      <rPr>
        <u/>
        <sz val="12"/>
        <color theme="1"/>
        <rFont val="新細明體"/>
        <family val="1"/>
        <charset val="136"/>
        <scheme val="minor"/>
      </rPr>
      <t xml:space="preserve">              </t>
    </r>
    <r>
      <rPr>
        <sz val="12"/>
        <color theme="1"/>
        <rFont val="新細明體"/>
        <family val="2"/>
        <charset val="136"/>
        <scheme val="minor"/>
      </rPr>
      <t xml:space="preserve">  the cost of operators and drivers who</t>
    </r>
    <phoneticPr fontId="1" type="noConversion"/>
  </si>
  <si>
    <t xml:space="preserve">II GENERAL PRINCIPLES 14.4 The quoted rates will be deemed to include for:
</t>
    <phoneticPr fontId="1" type="noConversion"/>
  </si>
  <si>
    <t>(b) Site supervision, hire charges, insurances, consumable stores, fuel and maintenance.</t>
  </si>
  <si>
    <t>Provisional Sum</t>
    <phoneticPr fontId="1" type="noConversion"/>
  </si>
  <si>
    <t>Prime Cost Sum</t>
    <phoneticPr fontId="1" type="noConversion"/>
  </si>
  <si>
    <r>
      <t xml:space="preserve">II GENERAL PRINCIPLES 15. PROVISIONAL AND PRIME COST SUMS
The term </t>
    </r>
    <r>
      <rPr>
        <u/>
        <sz val="12"/>
        <color theme="1"/>
        <rFont val="新細明體"/>
        <family val="1"/>
        <charset val="136"/>
        <scheme val="minor"/>
      </rPr>
      <t xml:space="preserve">                     </t>
    </r>
    <r>
      <rPr>
        <sz val="12"/>
        <color theme="1"/>
        <rFont val="新細明體"/>
        <family val="2"/>
        <charset val="136"/>
        <scheme val="minor"/>
      </rPr>
      <t xml:space="preserve"> shall mean a sum provided for work or services to be executed
by a Nominated Sub-Contractor or for materials or goods to be obtained from a Nominated
Supplier. Such sum shall be deemed to be exclusive of any profit or attendance required by
the Contractor and provision shall be made for the addition thereof.
</t>
    </r>
    <phoneticPr fontId="1" type="noConversion"/>
  </si>
  <si>
    <r>
      <t xml:space="preserve">II GENERAL PRINCIPLES 15. PROVISIONAL AND PRIME COST SUMS
the following definitions unless otherwise provided in the Conditions of Contract:
(a) The term </t>
    </r>
    <r>
      <rPr>
        <u/>
        <sz val="12"/>
        <color theme="1"/>
        <rFont val="新細明體"/>
        <family val="1"/>
        <charset val="136"/>
        <scheme val="minor"/>
      </rPr>
      <t xml:space="preserve">      </t>
    </r>
    <r>
      <rPr>
        <sz val="12"/>
        <color theme="1"/>
        <rFont val="新細明體"/>
        <family val="2"/>
        <charset val="136"/>
        <scheme val="minor"/>
      </rPr>
      <t xml:space="preserve">  shall mean a sum provided for work or for costs which cannot
be entirely foreseen, defined or detailed at the time the tendering documents are issued;
</t>
    </r>
    <phoneticPr fontId="1" type="noConversion"/>
  </si>
  <si>
    <t>Nominated Sub-Contractor</t>
  </si>
  <si>
    <r>
      <t xml:space="preserve">II GENERAL PRINCIPLES 15. PROVISIONAL AND PRIME COST SUMS
The term </t>
    </r>
    <r>
      <rPr>
        <sz val="12"/>
        <color theme="1"/>
        <rFont val="新細明體"/>
        <family val="1"/>
        <charset val="136"/>
        <scheme val="minor"/>
      </rPr>
      <t>Prime Cost Sum</t>
    </r>
    <r>
      <rPr>
        <sz val="12"/>
        <color theme="1"/>
        <rFont val="新細明體"/>
        <family val="2"/>
        <charset val="136"/>
        <scheme val="minor"/>
      </rPr>
      <t xml:space="preserve"> shall mean a sum provided for work or services to be executed
by a </t>
    </r>
    <r>
      <rPr>
        <u/>
        <sz val="12"/>
        <color theme="1"/>
        <rFont val="新細明體"/>
        <family val="1"/>
        <charset val="136"/>
        <scheme val="minor"/>
      </rPr>
      <t xml:space="preserve">                         </t>
    </r>
    <r>
      <rPr>
        <sz val="12"/>
        <color theme="1"/>
        <rFont val="新細明體"/>
        <family val="2"/>
        <charset val="136"/>
        <scheme val="minor"/>
      </rPr>
      <t xml:space="preserve"> or for materials or goods to be obtained from a Nominated
Supplier. Such sum shall be deemed to be exclusive of any profit or attendance required by
the Contractor and provision shall be made for the addition thereof.
</t>
    </r>
    <phoneticPr fontId="1" type="noConversion"/>
  </si>
  <si>
    <t>II GENERAL PRINCIPLES which statement should be given separately?</t>
    <phoneticPr fontId="1" type="noConversion"/>
  </si>
  <si>
    <r>
      <t xml:space="preserve">II GENERAL PRINCIPLES Where the premises are occupied, this shall be stated and any restrictions on access or timing or disposal of debris, and disposition of  </t>
    </r>
    <r>
      <rPr>
        <u/>
        <sz val="12"/>
        <color theme="1"/>
        <rFont val="新細明體"/>
        <family val="1"/>
        <charset val="136"/>
        <scheme val="minor"/>
      </rPr>
      <t xml:space="preserve">                         </t>
    </r>
    <r>
      <rPr>
        <sz val="12"/>
        <color theme="1"/>
        <rFont val="新細明體"/>
        <family val="2"/>
        <charset val="136"/>
        <scheme val="minor"/>
      </rPr>
      <t xml:space="preserve"> shall be given.</t>
    </r>
    <phoneticPr fontId="1" type="noConversion"/>
  </si>
  <si>
    <t>plant and materials</t>
  </si>
  <si>
    <t>II GENERAL PRINCIPLES Where the Contractor is required to provide, or to take over existing, temporary works, descriptions shall include, where appropriate, references to provision and ,  and making good all works disturbed.</t>
    <phoneticPr fontId="1" type="noConversion"/>
  </si>
  <si>
    <t xml:space="preserve">EXCAVATION (a) Excavation
Site clearance 1. Cutting down trees nr
2. Cutting down trees
which are not in an open
site area or are in an area
without vehicular access,
details stated 1. Girth 0.60 - 0.90 m
2. Girth in further stages
of            m?
</t>
    <phoneticPr fontId="1" type="noConversion"/>
  </si>
  <si>
    <t xml:space="preserve">EXCAVATION (a) Excavation
Site clearance 1. Cutting down trees nr
2. Cutting down trees
which are not in an open
site area or are in an area
without vehicular access,
details stated MEASUREMENT
RULES M.1 Tree girths are
measured at a height of
      above ground.
</t>
    <phoneticPr fontId="1" type="noConversion"/>
  </si>
  <si>
    <t>1.00 m</t>
    <phoneticPr fontId="1" type="noConversion"/>
  </si>
  <si>
    <t>3. Removal of existing tree
stumps, where trees have
been cut down by others
are messurement by unit?</t>
    <phoneticPr fontId="1" type="noConversion"/>
  </si>
  <si>
    <t>nr</t>
    <phoneticPr fontId="1" type="noConversion"/>
  </si>
  <si>
    <r>
      <t xml:space="preserve">1. Surface excavation ≤
</t>
    </r>
    <r>
      <rPr>
        <u/>
        <sz val="12"/>
        <color theme="1"/>
        <rFont val="新細明體"/>
        <family val="1"/>
        <charset val="136"/>
        <scheme val="minor"/>
      </rPr>
      <t xml:space="preserve">        </t>
    </r>
    <r>
      <rPr>
        <sz val="12"/>
        <color theme="1"/>
        <rFont val="新細明體"/>
        <family val="2"/>
        <charset val="136"/>
        <scheme val="minor"/>
      </rPr>
      <t>m in average depth</t>
    </r>
    <phoneticPr fontId="1" type="noConversion"/>
  </si>
  <si>
    <r>
      <t>(a)</t>
    </r>
    <r>
      <rPr>
        <u/>
        <sz val="12"/>
        <color theme="1"/>
        <rFont val="新細明體"/>
        <family val="1"/>
        <charset val="136"/>
        <scheme val="minor"/>
      </rPr>
      <t xml:space="preserve">       </t>
    </r>
    <r>
      <rPr>
        <sz val="12"/>
        <color theme="1"/>
        <rFont val="新細明體"/>
        <family val="2"/>
        <charset val="136"/>
        <scheme val="minor"/>
      </rPr>
      <t xml:space="preserve">m from the face
of concrete requiring
formwork where the
formwork does not exceed
</t>
    </r>
    <r>
      <rPr>
        <u/>
        <sz val="12"/>
        <color theme="1"/>
        <rFont val="新細明體"/>
        <family val="2"/>
        <charset val="136"/>
        <scheme val="minor"/>
      </rPr>
      <t xml:space="preserve">          </t>
    </r>
    <r>
      <rPr>
        <sz val="12"/>
        <color theme="1"/>
        <rFont val="新細明體"/>
        <family val="2"/>
        <charset val="136"/>
        <scheme val="minor"/>
      </rPr>
      <t>m in height</t>
    </r>
    <phoneticPr fontId="1" type="noConversion"/>
  </si>
  <si>
    <t>0.25, 0.6</t>
    <phoneticPr fontId="1" type="noConversion"/>
  </si>
  <si>
    <r>
      <rPr>
        <u/>
        <sz val="12"/>
        <color theme="1"/>
        <rFont val="新細明體"/>
        <family val="1"/>
        <charset val="136"/>
        <scheme val="minor"/>
      </rPr>
      <t xml:space="preserve">       </t>
    </r>
    <r>
      <rPr>
        <sz val="12"/>
        <color theme="1"/>
        <rFont val="新細明體"/>
        <family val="2"/>
        <charset val="136"/>
        <scheme val="minor"/>
      </rPr>
      <t xml:space="preserve">  m from the face
of concrete requiring
formwork where the
formwork exceeds </t>
    </r>
    <r>
      <rPr>
        <u/>
        <sz val="12"/>
        <color theme="1"/>
        <rFont val="新細明體"/>
        <family val="1"/>
        <charset val="136"/>
        <scheme val="minor"/>
      </rPr>
      <t xml:space="preserve">      </t>
    </r>
    <r>
      <rPr>
        <sz val="12"/>
        <color theme="1"/>
        <rFont val="新細明體"/>
        <family val="2"/>
        <charset val="136"/>
        <scheme val="minor"/>
      </rPr>
      <t xml:space="preserve"> height and the bottom
of the formwork exceeds
</t>
    </r>
    <r>
      <rPr>
        <u/>
        <sz val="12"/>
        <color theme="1"/>
        <rFont val="新細明體"/>
        <family val="1"/>
        <charset val="136"/>
        <scheme val="minor"/>
      </rPr>
      <t xml:space="preserve">             </t>
    </r>
    <r>
      <rPr>
        <sz val="12"/>
        <color theme="1"/>
        <rFont val="新細明體"/>
        <family val="2"/>
        <charset val="136"/>
        <scheme val="minor"/>
      </rPr>
      <t xml:space="preserve"> m below the starting
level of the excavation</t>
    </r>
    <phoneticPr fontId="1" type="noConversion"/>
  </si>
  <si>
    <t>m3</t>
    <phoneticPr fontId="1" type="noConversion"/>
  </si>
  <si>
    <t>2. Excavation to reduce
levels over site &gt; 0.20 m
in average depth what unit?</t>
    <phoneticPr fontId="1" type="noConversion"/>
  </si>
  <si>
    <r>
      <t xml:space="preserve">2. Excavation to reduce
levels over site &gt; </t>
    </r>
    <r>
      <rPr>
        <u/>
        <sz val="12"/>
        <color theme="1"/>
        <rFont val="新細明體"/>
        <family val="1"/>
        <charset val="136"/>
        <scheme val="minor"/>
      </rPr>
      <t xml:space="preserve">        </t>
    </r>
    <r>
      <rPr>
        <sz val="12"/>
        <color theme="1"/>
        <rFont val="新細明體"/>
        <family val="2"/>
        <charset val="136"/>
        <scheme val="minor"/>
      </rPr>
      <t xml:space="preserve"> m
in average depth m3</t>
    </r>
    <phoneticPr fontId="1" type="noConversion"/>
  </si>
  <si>
    <r>
      <t xml:space="preserve">4. Basements and similar
excavations 1. In successive stages of
</t>
    </r>
    <r>
      <rPr>
        <u/>
        <sz val="12"/>
        <color theme="1"/>
        <rFont val="新細明體"/>
        <family val="1"/>
        <charset val="136"/>
        <scheme val="minor"/>
      </rPr>
      <t xml:space="preserve">        </t>
    </r>
    <r>
      <rPr>
        <sz val="12"/>
        <color theme="1"/>
        <rFont val="新細明體"/>
        <family val="2"/>
        <charset val="136"/>
        <scheme val="minor"/>
      </rPr>
      <t xml:space="preserve"> m</t>
    </r>
    <phoneticPr fontId="1" type="noConversion"/>
  </si>
  <si>
    <r>
      <t xml:space="preserve">5. Surface trenches In successive stages of
</t>
    </r>
    <r>
      <rPr>
        <u/>
        <sz val="12"/>
        <color theme="1"/>
        <rFont val="新細明體"/>
        <family val="1"/>
        <charset val="136"/>
        <scheme val="minor"/>
      </rPr>
      <t xml:space="preserve">        </t>
    </r>
    <r>
      <rPr>
        <sz val="12"/>
        <color theme="1"/>
        <rFont val="新細明體"/>
        <family val="2"/>
        <charset val="136"/>
        <scheme val="minor"/>
      </rPr>
      <t xml:space="preserve"> m</t>
    </r>
    <phoneticPr fontId="1" type="noConversion"/>
  </si>
  <si>
    <r>
      <t xml:space="preserve">6. Trenches below basement level In successive stages of             
</t>
    </r>
    <r>
      <rPr>
        <u/>
        <sz val="12"/>
        <color theme="1"/>
        <rFont val="新細明體"/>
        <family val="1"/>
        <charset val="136"/>
        <scheme val="minor"/>
      </rPr>
      <t xml:space="preserve">             </t>
    </r>
    <r>
      <rPr>
        <sz val="12"/>
        <color theme="1"/>
        <rFont val="新細明體"/>
        <family val="2"/>
        <charset val="136"/>
        <scheme val="minor"/>
      </rPr>
      <t xml:space="preserve"> m </t>
    </r>
    <phoneticPr fontId="1" type="noConversion"/>
  </si>
  <si>
    <t>Post holes ≤ 0.30 m3 what unit?</t>
    <phoneticPr fontId="1" type="noConversion"/>
  </si>
  <si>
    <t>m2</t>
    <phoneticPr fontId="1" type="noConversion"/>
  </si>
  <si>
    <r>
      <t xml:space="preserve">Trenches for curbs. Average depth stated in
multiples of  </t>
    </r>
    <r>
      <rPr>
        <u/>
        <sz val="12"/>
        <color theme="1"/>
        <rFont val="新細明體"/>
        <family val="1"/>
        <charset val="136"/>
        <scheme val="minor"/>
      </rPr>
      <t xml:space="preserve">               </t>
    </r>
    <r>
      <rPr>
        <sz val="12"/>
        <color theme="1"/>
        <rFont val="新細明體"/>
        <family val="2"/>
        <charset val="136"/>
        <scheme val="minor"/>
      </rPr>
      <t xml:space="preserve">  m</t>
    </r>
    <phoneticPr fontId="1" type="noConversion"/>
  </si>
  <si>
    <t>Trenches for service,  pipes, cables and the like</t>
    <phoneticPr fontId="1" type="noConversion"/>
  </si>
  <si>
    <t>Backfilling to excavation 
1. ≤ 0.30 m in depth,
average depth stated
what unit?</t>
    <phoneticPr fontId="1" type="noConversion"/>
  </si>
  <si>
    <t>2. &gt; 0.30 m in depth
(where part exceeds 0.30
m in depth, the whole is
given cube)</t>
    <phoneticPr fontId="1" type="noConversion"/>
  </si>
  <si>
    <t>Concrete,  M.10 No deductions are
made for:</t>
    <phoneticPr fontId="1" type="noConversion"/>
  </si>
  <si>
    <t>Formwork  Generally</t>
    <phoneticPr fontId="1" type="noConversion"/>
  </si>
  <si>
    <r>
      <t xml:space="preserve">Formwork  Generally
M.3 No deductions made
for openings </t>
    </r>
    <r>
      <rPr>
        <sz val="12"/>
        <color theme="1"/>
        <rFont val="Cambria Math"/>
        <family val="2"/>
      </rPr>
      <t>≤</t>
    </r>
    <r>
      <rPr>
        <u/>
        <sz val="12"/>
        <color theme="1"/>
        <rFont val="新細明體"/>
        <family val="1"/>
        <charset val="136"/>
        <scheme val="minor"/>
      </rPr>
      <t xml:space="preserve">      </t>
    </r>
    <r>
      <rPr>
        <sz val="12"/>
        <color theme="1"/>
        <rFont val="新細明體"/>
        <family val="2"/>
        <charset val="136"/>
        <scheme val="minor"/>
      </rPr>
      <t>m2.</t>
    </r>
    <phoneticPr fontId="1" type="noConversion"/>
  </si>
  <si>
    <r>
      <t xml:space="preserve">Concrete,  M.10 No deductions are
made for: voids </t>
    </r>
    <r>
      <rPr>
        <sz val="12"/>
        <color theme="1"/>
        <rFont val="Cambria Math"/>
        <family val="2"/>
      </rPr>
      <t>≤</t>
    </r>
    <r>
      <rPr>
        <u/>
        <sz val="12"/>
        <color theme="1"/>
        <rFont val="新細明體"/>
        <family val="1"/>
        <charset val="136"/>
        <scheme val="minor"/>
      </rPr>
      <t xml:space="preserve">        </t>
    </r>
    <r>
      <rPr>
        <sz val="12"/>
        <color theme="1"/>
        <rFont val="新細明體"/>
        <family val="2"/>
        <charset val="136"/>
        <scheme val="minor"/>
      </rPr>
      <t>m3 in
work given cube where
the thickness is not
stated in the description</t>
    </r>
    <phoneticPr fontId="1" type="noConversion"/>
  </si>
  <si>
    <r>
      <t xml:space="preserve">Concrete,  M.10 No deductions are
made for: (c) openings in walls,
floors, roof slabs,
roadways and the like </t>
    </r>
    <r>
      <rPr>
        <sz val="12"/>
        <color theme="1"/>
        <rFont val="Cambria Math"/>
        <family val="2"/>
      </rPr>
      <t>≤</t>
    </r>
    <r>
      <rPr>
        <u/>
        <sz val="12"/>
        <color theme="1"/>
        <rFont val="新細明體"/>
        <family val="1"/>
        <charset val="136"/>
        <scheme val="minor"/>
      </rPr>
      <t xml:space="preserve">         </t>
    </r>
    <r>
      <rPr>
        <sz val="12"/>
        <color theme="1"/>
        <rFont val="新細明體"/>
        <family val="2"/>
        <charset val="136"/>
        <scheme val="minor"/>
      </rPr>
      <t xml:space="preserve"> m2 in work where the
thickness is stated and is
&lt; 500 mm (if over 500
mm thick and the void
exceeds 0.05 m3 it is to
be deducted)</t>
    </r>
    <phoneticPr fontId="1" type="noConversion"/>
  </si>
  <si>
    <r>
      <t xml:space="preserve">Concrete,  M.10 No deductions are
made for: (c) openings in walls,
floors, roof slabs,
roadways and the like </t>
    </r>
    <r>
      <rPr>
        <sz val="12"/>
        <color theme="1"/>
        <rFont val="Cambria Math"/>
        <family val="2"/>
      </rPr>
      <t>≤</t>
    </r>
    <r>
      <rPr>
        <sz val="12"/>
        <color theme="1"/>
        <rFont val="新細明體"/>
        <family val="1"/>
        <charset val="136"/>
        <scheme val="minor"/>
      </rPr>
      <t>0.1</t>
    </r>
    <r>
      <rPr>
        <sz val="12"/>
        <color theme="1"/>
        <rFont val="新細明體"/>
        <family val="2"/>
        <charset val="136"/>
        <scheme val="minor"/>
      </rPr>
      <t xml:space="preserve"> m2 in work where the
thickness is stated and is
&lt; </t>
    </r>
    <r>
      <rPr>
        <u/>
        <sz val="12"/>
        <color theme="1"/>
        <rFont val="新細明體"/>
        <family val="1"/>
        <charset val="136"/>
        <scheme val="minor"/>
      </rPr>
      <t xml:space="preserve">       </t>
    </r>
    <r>
      <rPr>
        <sz val="12"/>
        <color theme="1"/>
        <rFont val="新細明體"/>
        <family val="2"/>
        <charset val="136"/>
        <scheme val="minor"/>
      </rPr>
      <t xml:space="preserve"> mm (if over</t>
    </r>
    <r>
      <rPr>
        <u/>
        <sz val="12"/>
        <color theme="1"/>
        <rFont val="新細明體"/>
        <family val="1"/>
        <charset val="136"/>
        <scheme val="minor"/>
      </rPr>
      <t xml:space="preserve">        </t>
    </r>
    <r>
      <rPr>
        <sz val="12"/>
        <color theme="1"/>
        <rFont val="新細明體"/>
        <family val="2"/>
        <charset val="136"/>
        <scheme val="minor"/>
      </rPr>
      <t xml:space="preserve">
mm thick and the void
exceeds 0.05 m4 it is to
be deducted)</t>
    </r>
    <phoneticPr fontId="1" type="noConversion"/>
  </si>
  <si>
    <r>
      <t xml:space="preserve">1. Slab thickness </t>
    </r>
    <r>
      <rPr>
        <sz val="12"/>
        <color theme="1"/>
        <rFont val="Cambria Math"/>
        <family val="2"/>
      </rPr>
      <t>≤</t>
    </r>
    <r>
      <rPr>
        <sz val="12"/>
        <color theme="1"/>
        <rFont val="新細明體"/>
        <family val="2"/>
        <charset val="136"/>
        <scheme val="minor"/>
      </rPr>
      <t xml:space="preserve"> </t>
    </r>
    <r>
      <rPr>
        <u/>
        <sz val="12"/>
        <color theme="1"/>
        <rFont val="新細明體"/>
        <family val="1"/>
        <charset val="136"/>
        <scheme val="minor"/>
      </rPr>
      <t xml:space="preserve">      </t>
    </r>
    <r>
      <rPr>
        <sz val="12"/>
        <color theme="1"/>
        <rFont val="新細明體"/>
        <family val="2"/>
        <charset val="136"/>
        <scheme val="minor"/>
      </rPr>
      <t xml:space="preserve">
mm
2. Slab thickness &gt;</t>
    </r>
    <r>
      <rPr>
        <u/>
        <sz val="12"/>
        <color theme="1"/>
        <rFont val="新細明體"/>
        <family val="1"/>
        <charset val="136"/>
        <scheme val="minor"/>
      </rPr>
      <t xml:space="preserve">       </t>
    </r>
    <r>
      <rPr>
        <sz val="12"/>
        <color theme="1"/>
        <rFont val="新細明體"/>
        <family val="2"/>
        <charset val="136"/>
        <scheme val="minor"/>
      </rPr>
      <t xml:space="preserve">
mm - thickness stated in
further stages of 100 mm</t>
    </r>
    <phoneticPr fontId="1" type="noConversion"/>
  </si>
  <si>
    <r>
      <t xml:space="preserve">1. Slab thickness </t>
    </r>
    <r>
      <rPr>
        <sz val="12"/>
        <color theme="1"/>
        <rFont val="Cambria Math"/>
        <family val="2"/>
      </rPr>
      <t>≤</t>
    </r>
    <r>
      <rPr>
        <sz val="12"/>
        <color theme="1"/>
        <rFont val="新細明體"/>
        <family val="2"/>
        <charset val="136"/>
        <scheme val="minor"/>
      </rPr>
      <t xml:space="preserve"> 200</t>
    </r>
    <r>
      <rPr>
        <u/>
        <sz val="12"/>
        <color theme="1"/>
        <rFont val="新細明體"/>
        <family val="1"/>
        <charset val="136"/>
        <scheme val="minor"/>
      </rPr>
      <t xml:space="preserve">      </t>
    </r>
    <r>
      <rPr>
        <sz val="12"/>
        <color theme="1"/>
        <rFont val="新細明體"/>
        <family val="2"/>
        <charset val="136"/>
        <scheme val="minor"/>
      </rPr>
      <t xml:space="preserve">
mm
2. Slab thickness &gt;</t>
    </r>
    <r>
      <rPr>
        <u/>
        <sz val="12"/>
        <color theme="1"/>
        <rFont val="新細明體"/>
        <family val="1"/>
        <charset val="136"/>
        <scheme val="minor"/>
      </rPr>
      <t xml:space="preserve"> </t>
    </r>
    <r>
      <rPr>
        <sz val="12"/>
        <color theme="1"/>
        <rFont val="新細明體"/>
        <family val="1"/>
        <charset val="136"/>
        <scheme val="minor"/>
      </rPr>
      <t xml:space="preserve"> 200</t>
    </r>
    <r>
      <rPr>
        <u/>
        <sz val="12"/>
        <color theme="1"/>
        <rFont val="新細明體"/>
        <family val="1"/>
        <charset val="136"/>
        <scheme val="minor"/>
      </rPr>
      <t xml:space="preserve">     </t>
    </r>
    <r>
      <rPr>
        <sz val="12"/>
        <color theme="1"/>
        <rFont val="新細明體"/>
        <family val="2"/>
        <charset val="136"/>
        <scheme val="minor"/>
      </rPr>
      <t xml:space="preserve">
mm - thickness stated in
further stages of</t>
    </r>
    <r>
      <rPr>
        <u/>
        <sz val="12"/>
        <color theme="1"/>
        <rFont val="新細明體"/>
        <family val="1"/>
        <charset val="136"/>
        <scheme val="minor"/>
      </rPr>
      <t xml:space="preserve">         </t>
    </r>
    <r>
      <rPr>
        <sz val="12"/>
        <color theme="1"/>
        <rFont val="新細明體"/>
        <family val="2"/>
        <charset val="136"/>
        <scheme val="minor"/>
      </rPr>
      <t xml:space="preserve"> mm</t>
    </r>
    <phoneticPr fontId="1" type="noConversion"/>
  </si>
  <si>
    <r>
      <t xml:space="preserve"> Slab 1. Height to soffit </t>
    </r>
    <r>
      <rPr>
        <sz val="12"/>
        <color theme="1"/>
        <rFont val="Cambria Math"/>
        <family val="2"/>
      </rPr>
      <t>≤</t>
    </r>
    <r>
      <rPr>
        <sz val="12"/>
        <color theme="1"/>
        <rFont val="新細明體"/>
        <family val="2"/>
        <charset val="136"/>
        <scheme val="minor"/>
      </rPr>
      <t xml:space="preserve"> _____ m
2. Thereafter in 1.50 m
stages</t>
    </r>
    <phoneticPr fontId="1" type="noConversion"/>
  </si>
  <si>
    <r>
      <t xml:space="preserve"> Slab 1. Height to soffit </t>
    </r>
    <r>
      <rPr>
        <sz val="12"/>
        <color theme="1"/>
        <rFont val="Cambria Math"/>
        <family val="2"/>
      </rPr>
      <t>≤</t>
    </r>
    <r>
      <rPr>
        <sz val="12"/>
        <color theme="1"/>
        <rFont val="新細明體"/>
        <family val="2"/>
        <charset val="136"/>
        <scheme val="minor"/>
      </rPr>
      <t xml:space="preserve"> 3.5m
2. Thereafter in        m
stages</t>
    </r>
    <phoneticPr fontId="1" type="noConversion"/>
  </si>
  <si>
    <t>upbringing</t>
    <phoneticPr fontId="1" type="noConversion"/>
  </si>
  <si>
    <t>interpret</t>
    <phoneticPr fontId="1" type="noConversion"/>
  </si>
  <si>
    <t>discard</t>
    <phoneticPr fontId="1" type="noConversion"/>
  </si>
  <si>
    <t>insight</t>
    <phoneticPr fontId="1" type="noConversion"/>
  </si>
  <si>
    <t>remedy</t>
    <phoneticPr fontId="1" type="noConversion"/>
  </si>
  <si>
    <t>awakening</t>
    <phoneticPr fontId="1" type="noConversion"/>
  </si>
  <si>
    <t>理解</t>
    <phoneticPr fontId="1" type="noConversion"/>
  </si>
  <si>
    <t>教育</t>
    <phoneticPr fontId="1" type="noConversion"/>
  </si>
  <si>
    <t>拋棄</t>
    <phoneticPr fontId="1" type="noConversion"/>
  </si>
  <si>
    <t>洞察力</t>
    <phoneticPr fontId="1" type="noConversion"/>
  </si>
  <si>
    <t>糾正, 改進</t>
    <phoneticPr fontId="1" type="noConversion"/>
  </si>
  <si>
    <t>覺醒</t>
    <phoneticPr fontId="1" type="noConversion"/>
  </si>
  <si>
    <t>serve</t>
  </si>
  <si>
    <t>有助於</t>
  </si>
  <si>
    <t>strike</t>
  </si>
  <si>
    <t>突然侵襲</t>
  </si>
  <si>
    <t>persistence</t>
  </si>
  <si>
    <t>持續存在, 堅持不懈，執意</t>
    <phoneticPr fontId="1" type="noConversion"/>
  </si>
  <si>
    <t>伴隨</t>
    <phoneticPr fontId="1" type="noConversion"/>
  </si>
  <si>
    <t>shoulder</t>
    <phoneticPr fontId="1" type="noConversion"/>
  </si>
  <si>
    <t>imposed</t>
    <phoneticPr fontId="1" type="noConversion"/>
  </si>
  <si>
    <t>governing</t>
    <phoneticPr fontId="1" type="noConversion"/>
  </si>
  <si>
    <t>aid</t>
    <phoneticPr fontId="1" type="noConversion"/>
  </si>
  <si>
    <t>diminish</t>
    <phoneticPr fontId="1" type="noConversion"/>
  </si>
  <si>
    <t>ripple</t>
    <phoneticPr fontId="1" type="noConversion"/>
  </si>
  <si>
    <t>shrink</t>
    <phoneticPr fontId="1" type="noConversion"/>
  </si>
  <si>
    <t>vast</t>
    <phoneticPr fontId="1" type="noConversion"/>
  </si>
  <si>
    <t>dictated</t>
    <phoneticPr fontId="1" type="noConversion"/>
  </si>
  <si>
    <t>arise</t>
    <phoneticPr fontId="1" type="noConversion"/>
  </si>
  <si>
    <t>declaration</t>
    <phoneticPr fontId="1" type="noConversion"/>
  </si>
  <si>
    <t>initially</t>
    <phoneticPr fontId="1" type="noConversion"/>
  </si>
  <si>
    <t>承受</t>
    <phoneticPr fontId="1" type="noConversion"/>
  </si>
  <si>
    <t>強行推出</t>
    <phoneticPr fontId="1" type="noConversion"/>
  </si>
  <si>
    <t>管理</t>
    <phoneticPr fontId="1" type="noConversion"/>
  </si>
  <si>
    <t>減少</t>
    <phoneticPr fontId="1" type="noConversion"/>
  </si>
  <si>
    <t>迴響</t>
    <phoneticPr fontId="1" type="noConversion"/>
  </si>
  <si>
    <t>變少</t>
    <phoneticPr fontId="1" type="noConversion"/>
  </si>
  <si>
    <t>增強</t>
    <phoneticPr fontId="1" type="noConversion"/>
  </si>
  <si>
    <t>巨大</t>
    <phoneticPr fontId="1" type="noConversion"/>
  </si>
  <si>
    <t>規定</t>
    <phoneticPr fontId="1" type="noConversion"/>
  </si>
  <si>
    <t>出現</t>
    <phoneticPr fontId="1" type="noConversion"/>
  </si>
  <si>
    <t>宣告</t>
    <phoneticPr fontId="1" type="noConversion"/>
  </si>
  <si>
    <t>最初</t>
    <phoneticPr fontId="1" type="noConversion"/>
  </si>
  <si>
    <t>消沉</t>
    <phoneticPr fontId="1" type="noConversion"/>
  </si>
  <si>
    <t>傾訴</t>
    <phoneticPr fontId="1" type="noConversion"/>
  </si>
  <si>
    <t>改善</t>
    <phoneticPr fontId="1" type="noConversion"/>
  </si>
  <si>
    <t>confide</t>
    <phoneticPr fontId="1" type="noConversion"/>
  </si>
  <si>
    <t>sharpen</t>
    <phoneticPr fontId="1" type="noConversion"/>
  </si>
  <si>
    <t>coined</t>
    <phoneticPr fontId="1" type="noConversion"/>
  </si>
  <si>
    <t>asset</t>
    <phoneticPr fontId="1" type="noConversion"/>
  </si>
  <si>
    <t>impasse</t>
    <phoneticPr fontId="1" type="noConversion"/>
  </si>
  <si>
    <t>considerable</t>
    <phoneticPr fontId="1" type="noConversion"/>
  </si>
  <si>
    <t>創造</t>
    <phoneticPr fontId="1" type="noConversion"/>
  </si>
  <si>
    <t>感知</t>
    <phoneticPr fontId="1" type="noConversion"/>
  </si>
  <si>
    <t>優點</t>
    <phoneticPr fontId="1" type="noConversion"/>
  </si>
  <si>
    <t>可觀, 大量</t>
    <phoneticPr fontId="1" type="noConversion"/>
  </si>
  <si>
    <t>絕境, 僵局</t>
    <phoneticPr fontId="1" type="noConversion"/>
  </si>
  <si>
    <t>conventional</t>
    <phoneticPr fontId="1" type="noConversion"/>
  </si>
  <si>
    <t>mainstream</t>
    <phoneticPr fontId="1" type="noConversion"/>
  </si>
  <si>
    <t>decade</t>
    <phoneticPr fontId="1" type="noConversion"/>
  </si>
  <si>
    <t>desire</t>
    <phoneticPr fontId="1" type="noConversion"/>
  </si>
  <si>
    <t>intriguing</t>
    <phoneticPr fontId="1" type="noConversion"/>
  </si>
  <si>
    <t>assertion</t>
    <phoneticPr fontId="1" type="noConversion"/>
  </si>
  <si>
    <t>toward</t>
    <phoneticPr fontId="1" type="noConversion"/>
  </si>
  <si>
    <t>傳統</t>
    <phoneticPr fontId="1" type="noConversion"/>
  </si>
  <si>
    <t>主流</t>
    <phoneticPr fontId="1" type="noConversion"/>
  </si>
  <si>
    <t>年代</t>
    <phoneticPr fontId="1" type="noConversion"/>
  </si>
  <si>
    <t>希望</t>
    <phoneticPr fontId="1" type="noConversion"/>
  </si>
  <si>
    <t>引人入勝</t>
    <phoneticPr fontId="1" type="noConversion"/>
  </si>
  <si>
    <t>具爭議</t>
    <phoneticPr fontId="1" type="noConversion"/>
  </si>
  <si>
    <t>斷言</t>
    <phoneticPr fontId="1" type="noConversion"/>
  </si>
  <si>
    <t>見多識廣</t>
    <phoneticPr fontId="1" type="noConversion"/>
  </si>
  <si>
    <t>關於</t>
    <phoneticPr fontId="1" type="noConversion"/>
  </si>
  <si>
    <t>abundantly</t>
    <phoneticPr fontId="1" type="noConversion"/>
  </si>
  <si>
    <t>充分地</t>
    <phoneticPr fontId="1" type="noConversion"/>
  </si>
  <si>
    <t>extraordinary</t>
    <phoneticPr fontId="1" type="noConversion"/>
  </si>
  <si>
    <t>conscious</t>
    <phoneticPr fontId="1" type="noConversion"/>
  </si>
  <si>
    <t>aspect</t>
    <phoneticPr fontId="1" type="noConversion"/>
  </si>
  <si>
    <t>特別的</t>
    <phoneticPr fontId="1" type="noConversion"/>
  </si>
  <si>
    <t>有意識</t>
    <phoneticPr fontId="1" type="noConversion"/>
  </si>
  <si>
    <t>方面</t>
    <phoneticPr fontId="1" type="noConversion"/>
  </si>
  <si>
    <t>accompanied</t>
  </si>
  <si>
    <t>heightening</t>
  </si>
  <si>
    <t>depression</t>
  </si>
  <si>
    <t>perceptive</t>
  </si>
  <si>
    <t>controversial</t>
  </si>
  <si>
    <t>sophisticated</t>
  </si>
  <si>
    <t>convince</t>
  </si>
  <si>
    <t>說服</t>
  </si>
  <si>
    <t>proposition</t>
  </si>
  <si>
    <t>alluring</t>
  </si>
  <si>
    <t>誘人的，迷人的</t>
  </si>
  <si>
    <t>narrowly</t>
  </si>
  <si>
    <t>仔細地；質疑地</t>
  </si>
  <si>
    <t>absurd</t>
  </si>
  <si>
    <t>likewise</t>
  </si>
  <si>
    <t>同樣, 照樣</t>
  </si>
  <si>
    <t>consequently</t>
  </si>
  <si>
    <t>因此；所以</t>
    <phoneticPr fontId="1" type="noConversion"/>
  </si>
  <si>
    <t>spectacular</t>
  </si>
  <si>
    <t>壯觀的，壯麗的</t>
  </si>
  <si>
    <t>feast</t>
  </si>
  <si>
    <t>享受</t>
  </si>
  <si>
    <t>提議，建議</t>
    <phoneticPr fontId="1" type="noConversion"/>
  </si>
  <si>
    <t>利用；應用</t>
    <phoneticPr fontId="1" type="noConversion"/>
  </si>
  <si>
    <t>cough up</t>
  </si>
  <si>
    <t>勉強給予（錢或資訊）</t>
    <phoneticPr fontId="1" type="noConversion"/>
  </si>
  <si>
    <t>treasure</t>
  </si>
  <si>
    <t>財寶；珍寶</t>
    <phoneticPr fontId="1" type="noConversion"/>
  </si>
  <si>
    <t>mammoth</t>
  </si>
  <si>
    <t>巨大的；龐大的</t>
    <phoneticPr fontId="1" type="noConversion"/>
  </si>
  <si>
    <t>愉快的；美好的</t>
    <phoneticPr fontId="1" type="noConversion"/>
  </si>
  <si>
    <t>mount</t>
  </si>
  <si>
    <t>增加；增長；上升</t>
    <phoneticPr fontId="1" type="noConversion"/>
  </si>
  <si>
    <t>assurance</t>
  </si>
  <si>
    <t>保證</t>
    <phoneticPr fontId="1" type="noConversion"/>
  </si>
  <si>
    <t>unprecedented</t>
  </si>
  <si>
    <t>史無前例的</t>
    <phoneticPr fontId="1" type="noConversion"/>
  </si>
  <si>
    <t>precedent</t>
  </si>
  <si>
    <t>先例，前例</t>
    <phoneticPr fontId="1" type="noConversion"/>
  </si>
  <si>
    <t>precedented</t>
  </si>
  <si>
    <t>gradually</t>
  </si>
  <si>
    <t>逐步地, 逐漸地</t>
    <phoneticPr fontId="1" type="noConversion"/>
  </si>
  <si>
    <t>acknowledge</t>
  </si>
  <si>
    <t>承認；認可</t>
    <phoneticPr fontId="1" type="noConversion"/>
  </si>
  <si>
    <t>ambitious</t>
  </si>
  <si>
    <t>有抱負的；志向遠大的；雄心勃勃的</t>
    <phoneticPr fontId="1" type="noConversion"/>
  </si>
  <si>
    <t>insist</t>
  </si>
  <si>
    <t>堅持說，強調；堅決要求</t>
    <phoneticPr fontId="1" type="noConversion"/>
  </si>
  <si>
    <t>concede</t>
  </si>
  <si>
    <t>（常指不情願地）承認</t>
    <phoneticPr fontId="1" type="noConversion"/>
  </si>
  <si>
    <t>災難，大禍</t>
    <phoneticPr fontId="1" type="noConversion"/>
  </si>
  <si>
    <t>swallow</t>
  </si>
  <si>
    <t>吞嚥，吞下</t>
    <phoneticPr fontId="1" type="noConversion"/>
  </si>
  <si>
    <t>demise</t>
  </si>
  <si>
    <t>倒閉；敗落；</t>
    <phoneticPr fontId="1" type="noConversion"/>
  </si>
  <si>
    <t>polish</t>
  </si>
  <si>
    <t>擦，擦亮</t>
    <phoneticPr fontId="1" type="noConversion"/>
  </si>
  <si>
    <t>bicker</t>
  </si>
  <si>
    <t>solidarity</t>
  </si>
  <si>
    <t>團結一致</t>
    <phoneticPr fontId="1" type="noConversion"/>
  </si>
  <si>
    <t>ease</t>
  </si>
  <si>
    <t>減輕；減低；緩解</t>
    <phoneticPr fontId="1" type="noConversion"/>
  </si>
  <si>
    <t>有前例可循的</t>
    <phoneticPr fontId="1" type="noConversion"/>
  </si>
  <si>
    <t>grasp</t>
  </si>
  <si>
    <t>抓緊，握緊;理解，領悟</t>
    <phoneticPr fontId="1" type="noConversion"/>
  </si>
  <si>
    <t>infrastructure</t>
  </si>
  <si>
    <t>基礎建設</t>
    <phoneticPr fontId="1" type="noConversion"/>
  </si>
  <si>
    <t>subsequent</t>
  </si>
  <si>
    <t>隨後的，接著的</t>
    <phoneticPr fontId="1" type="noConversion"/>
  </si>
  <si>
    <t>deny</t>
  </si>
  <si>
    <t>否認，否定; 拒絕</t>
    <phoneticPr fontId="1" type="noConversion"/>
  </si>
  <si>
    <t>flatten</t>
  </si>
  <si>
    <t>變平，把…弄平</t>
    <phoneticPr fontId="1" type="noConversion"/>
  </si>
  <si>
    <t>loosen</t>
  </si>
  <si>
    <t>（使）鬆散，（使）鬆開</t>
    <phoneticPr fontId="1" type="noConversion"/>
  </si>
  <si>
    <t>trigger</t>
  </si>
  <si>
    <t>引起，引發</t>
    <phoneticPr fontId="1" type="noConversion"/>
  </si>
  <si>
    <t>outrageous</t>
  </si>
  <si>
    <t>駭人的; 無法接受的</t>
    <phoneticPr fontId="1" type="noConversion"/>
  </si>
  <si>
    <t>assembly</t>
  </si>
  <si>
    <t>集體活動，集會</t>
    <phoneticPr fontId="1" type="noConversion"/>
  </si>
  <si>
    <t>（為小事）爭吵，口角，鬥嘴</t>
    <phoneticPr fontId="1" type="noConversion"/>
  </si>
  <si>
    <t>shroud</t>
  </si>
  <si>
    <t>遮蔽；覆蓋；隱藏</t>
    <phoneticPr fontId="1" type="noConversion"/>
  </si>
  <si>
    <t>surge</t>
  </si>
  <si>
    <t>遽增，急遽上升</t>
    <phoneticPr fontId="1" type="noConversion"/>
  </si>
  <si>
    <t>defy</t>
  </si>
  <si>
    <t>對抗；違抗；反抗</t>
    <phoneticPr fontId="1" type="noConversion"/>
  </si>
  <si>
    <t>march</t>
  </si>
  <si>
    <t>抗議遊行，示威遊行</t>
    <phoneticPr fontId="1" type="noConversion"/>
  </si>
  <si>
    <t>arrest</t>
  </si>
  <si>
    <t>逮捕；拘捕</t>
    <phoneticPr fontId="1" type="noConversion"/>
  </si>
  <si>
    <t>escalate</t>
  </si>
  <si>
    <t>（不好的事情）猖獗的，泛濫的</t>
    <phoneticPr fontId="1" type="noConversion"/>
  </si>
  <si>
    <t>prosperity</t>
  </si>
  <si>
    <t>成功；（尤指經濟上的）繁榮，昌盛</t>
    <phoneticPr fontId="1" type="noConversion"/>
  </si>
  <si>
    <t>（使）增強；（使）擴大；</t>
    <phoneticPr fontId="1" type="noConversion"/>
  </si>
  <si>
    <t>Letters enter:</t>
    <phoneticPr fontId="1" type="noConversion"/>
  </si>
  <si>
    <t>You have done</t>
    <phoneticPr fontId="1" type="noConversion"/>
  </si>
  <si>
    <t>deteriorate</t>
  </si>
  <si>
    <t>惡化，變壞</t>
    <phoneticPr fontId="1" type="noConversion"/>
  </si>
  <si>
    <t>undermine</t>
  </si>
  <si>
    <t>削弱信心、權威等，損害</t>
    <phoneticPr fontId="1" type="noConversion"/>
  </si>
  <si>
    <t>territory</t>
  </si>
  <si>
    <t>領地, 知識等的）領域</t>
    <phoneticPr fontId="1" type="noConversion"/>
  </si>
  <si>
    <t>autonomous</t>
  </si>
  <si>
    <t>自主的，有自主權的</t>
    <phoneticPr fontId="1" type="noConversion"/>
  </si>
  <si>
    <t>revoke</t>
  </si>
  <si>
    <t>撤銷；廢除；解除</t>
    <phoneticPr fontId="1" type="noConversion"/>
  </si>
  <si>
    <t>jeopardize</t>
  </si>
  <si>
    <t>危及，損害</t>
    <phoneticPr fontId="1" type="noConversion"/>
  </si>
  <si>
    <t>dissuade</t>
  </si>
  <si>
    <t>勸說…不做某事，勸阻</t>
    <phoneticPr fontId="1" type="noConversion"/>
  </si>
  <si>
    <t>assimilate</t>
  </si>
  <si>
    <t>加入；融入；（使）同化</t>
    <phoneticPr fontId="1" type="noConversion"/>
  </si>
  <si>
    <t>massive</t>
  </si>
  <si>
    <t>巨大的；大量的</t>
    <phoneticPr fontId="1" type="noConversion"/>
  </si>
  <si>
    <t>infuriate</t>
  </si>
  <si>
    <t>使大怒，激怒</t>
    <phoneticPr fontId="1" type="noConversion"/>
  </si>
  <si>
    <t>優先的；優待的，優惠的</t>
    <phoneticPr fontId="1" type="noConversion"/>
  </si>
  <si>
    <t>fragile</t>
  </si>
  <si>
    <t>易損壞的；易碎的；脆弱的</t>
    <phoneticPr fontId="1" type="noConversion"/>
  </si>
  <si>
    <t>leverage</t>
  </si>
  <si>
    <t>影響力</t>
    <phoneticPr fontId="1" type="noConversion"/>
  </si>
  <si>
    <t>sentiment</t>
  </si>
  <si>
    <t>觀點；意見；看法；情緒</t>
    <phoneticPr fontId="1" type="noConversion"/>
  </si>
  <si>
    <t>fuel</t>
  </si>
  <si>
    <t>加強；激起</t>
    <phoneticPr fontId="1" type="noConversion"/>
  </si>
  <si>
    <t>curtail</t>
  </si>
  <si>
    <t>制止；減少；縮減；限制</t>
    <phoneticPr fontId="1" type="noConversion"/>
  </si>
  <si>
    <t>rampant</t>
    <phoneticPr fontId="1" type="noConversion"/>
  </si>
  <si>
    <t>utilize</t>
    <phoneticPr fontId="1" type="noConversion"/>
  </si>
  <si>
    <t>preferential</t>
    <phoneticPr fontId="1" type="noConversion"/>
  </si>
  <si>
    <t>looming</t>
  </si>
  <si>
    <t>迫近的，逼近的</t>
    <phoneticPr fontId="1" type="noConversion"/>
  </si>
  <si>
    <t>acquire</t>
  </si>
  <si>
    <t>取得，獲得；</t>
    <phoneticPr fontId="1" type="noConversion"/>
  </si>
  <si>
    <t>spark</t>
  </si>
  <si>
    <t>導火線，誘因,引起，導致</t>
    <phoneticPr fontId="1" type="noConversion"/>
  </si>
  <si>
    <t>smother</t>
  </si>
  <si>
    <t>抑制；扼殺</t>
    <phoneticPr fontId="1" type="noConversion"/>
  </si>
  <si>
    <t>sanctions</t>
  </si>
  <si>
    <t>制裁</t>
    <phoneticPr fontId="1" type="noConversion"/>
  </si>
  <si>
    <t>reckless</t>
  </si>
  <si>
    <t>魯莽的；輕率的；</t>
    <phoneticPr fontId="1" type="noConversion"/>
  </si>
  <si>
    <t>arbitrary</t>
  </si>
  <si>
    <t>隨心所欲的;武斷的；霸道的</t>
    <phoneticPr fontId="1" type="noConversion"/>
  </si>
  <si>
    <t>coerce</t>
  </si>
  <si>
    <t>強制，強迫；威逼，脅迫</t>
    <phoneticPr fontId="1" type="noConversion"/>
  </si>
  <si>
    <t>erupts</t>
  </si>
  <si>
    <t>突然發生</t>
    <phoneticPr fontId="1" type="noConversion"/>
  </si>
  <si>
    <t>disperse</t>
  </si>
  <si>
    <t>（使）擴散，（使）散開</t>
    <phoneticPr fontId="1" type="noConversion"/>
  </si>
  <si>
    <t>demonstrator</t>
  </si>
  <si>
    <t>示威者，遊行者</t>
    <phoneticPr fontId="1" type="noConversion"/>
  </si>
  <si>
    <t>unrest</t>
  </si>
  <si>
    <t>動亂，動盪</t>
    <phoneticPr fontId="1" type="noConversion"/>
  </si>
  <si>
    <t>emerge</t>
  </si>
  <si>
    <t>出現, 為人知曉</t>
    <phoneticPr fontId="1" type="noConversion"/>
  </si>
  <si>
    <t>hostile</t>
  </si>
  <si>
    <t>不友好的，敵對的</t>
    <phoneticPr fontId="1" type="noConversion"/>
  </si>
  <si>
    <t>violate</t>
  </si>
  <si>
    <t>違反，違背，違犯</t>
    <phoneticPr fontId="1" type="noConversion"/>
  </si>
  <si>
    <t>spoil</t>
  </si>
  <si>
    <t>破壞；糟蹋；毀掉</t>
    <phoneticPr fontId="1" type="noConversion"/>
  </si>
  <si>
    <t>concession</t>
  </si>
  <si>
    <t>認可，讓步，妥協</t>
    <phoneticPr fontId="1" type="noConversion"/>
  </si>
  <si>
    <t>occasionally</t>
  </si>
  <si>
    <t>偶爾，間或；有時</t>
    <phoneticPr fontId="1" type="noConversion"/>
  </si>
  <si>
    <t>standstill</t>
  </si>
  <si>
    <t>靜止；停頓；停滯</t>
    <phoneticPr fontId="1" type="noConversion"/>
  </si>
  <si>
    <t>turbulence</t>
  </si>
  <si>
    <t>騷亂，騷動；</t>
    <phoneticPr fontId="1" type="noConversion"/>
  </si>
  <si>
    <t>deserted</t>
  </si>
  <si>
    <t>空無一人的，空曠的，空蕩蕩的</t>
    <phoneticPr fontId="1" type="noConversion"/>
  </si>
  <si>
    <t>inequality</t>
  </si>
  <si>
    <t>不平等，不均等</t>
    <phoneticPr fontId="1" type="noConversion"/>
  </si>
  <si>
    <t>looting</t>
  </si>
  <si>
    <t>搶劫，洗劫</t>
    <phoneticPr fontId="1" type="noConversion"/>
  </si>
  <si>
    <t>vandalize</t>
  </si>
  <si>
    <t>故意破壞</t>
    <phoneticPr fontId="1" type="noConversion"/>
  </si>
  <si>
    <t>confront</t>
  </si>
  <si>
    <t>面對，面臨；遭遇；</t>
    <phoneticPr fontId="1" type="noConversion"/>
  </si>
  <si>
    <t>hobble</t>
  </si>
  <si>
    <t>約束，限制</t>
    <phoneticPr fontId="1" type="noConversion"/>
  </si>
  <si>
    <t>conservative</t>
  </si>
  <si>
    <t>保守的；守舊的</t>
    <phoneticPr fontId="1" type="noConversion"/>
  </si>
  <si>
    <t>insurrection</t>
  </si>
  <si>
    <t>起義，暴動</t>
    <phoneticPr fontId="1" type="noConversion"/>
  </si>
  <si>
    <t>解釋，闡釋；理解</t>
    <phoneticPr fontId="1" type="noConversion"/>
  </si>
  <si>
    <t>interpretation</t>
  </si>
  <si>
    <t>intervention</t>
  </si>
  <si>
    <t>干涉</t>
    <phoneticPr fontId="1" type="noConversion"/>
  </si>
  <si>
    <t>prior</t>
  </si>
  <si>
    <t>在先的，在前的；居先的</t>
    <phoneticPr fontId="1" type="noConversion"/>
  </si>
  <si>
    <t>deplete</t>
  </si>
  <si>
    <t>消耗；耗費</t>
    <phoneticPr fontId="1" type="noConversion"/>
  </si>
  <si>
    <t>contracted</t>
  </si>
  <si>
    <t>使）收縮；（使）縮小；</t>
    <phoneticPr fontId="1" type="noConversion"/>
  </si>
  <si>
    <t>feud</t>
  </si>
  <si>
    <t>長期鬥爭</t>
    <phoneticPr fontId="1" type="noConversion"/>
  </si>
  <si>
    <t>campaign</t>
  </si>
  <si>
    <t>專門活動，運動</t>
    <phoneticPr fontId="1" type="noConversion"/>
  </si>
  <si>
    <t>absorbing</t>
  </si>
  <si>
    <t>引人入勝的；吸引人的</t>
    <phoneticPr fontId="1" type="noConversion"/>
  </si>
  <si>
    <t>accuse</t>
  </si>
  <si>
    <t>指控，控告；指責</t>
    <phoneticPr fontId="1" type="noConversion"/>
  </si>
  <si>
    <t>commanding</t>
  </si>
  <si>
    <t>處於（有望取勝或成功的）有利地位的</t>
    <phoneticPr fontId="1" type="noConversion"/>
  </si>
  <si>
    <t>prominent</t>
  </si>
  <si>
    <t>突出的，顯眼的</t>
    <phoneticPr fontId="1" type="noConversion"/>
  </si>
  <si>
    <t>spur</t>
  </si>
  <si>
    <t>激勵，鞭策；促進，加速</t>
    <phoneticPr fontId="1" type="noConversion"/>
  </si>
  <si>
    <t>inherit</t>
  </si>
  <si>
    <t>繼承</t>
    <phoneticPr fontId="1" type="noConversion"/>
  </si>
  <si>
    <t>squander</t>
  </si>
  <si>
    <t>浪費，揮霍</t>
    <phoneticPr fontId="1" type="noConversion"/>
  </si>
  <si>
    <t>pledge</t>
  </si>
  <si>
    <t>誓言；諾言；保證</t>
    <phoneticPr fontId="1" type="noConversion"/>
  </si>
  <si>
    <t>presume</t>
  </si>
  <si>
    <t>假定，推定，認定</t>
    <phoneticPr fontId="1" type="noConversion"/>
  </si>
  <si>
    <t>cope</t>
  </si>
  <si>
    <t>成功地）對付，應付，處理</t>
    <phoneticPr fontId="1" type="noConversion"/>
  </si>
  <si>
    <t>mitigate</t>
  </si>
  <si>
    <t>使緩和；減輕（危害等）</t>
    <phoneticPr fontId="1" type="noConversion"/>
  </si>
  <si>
    <t>enumerate</t>
  </si>
  <si>
    <t>列舉，枚舉</t>
    <phoneticPr fontId="1" type="noConversion"/>
  </si>
  <si>
    <t>apparently</t>
  </si>
  <si>
    <t>據…所知；看來；據說；</t>
    <phoneticPr fontId="1" type="noConversion"/>
  </si>
  <si>
    <t>evidently</t>
  </si>
  <si>
    <t>顯然地</t>
    <phoneticPr fontId="1" type="noConversion"/>
  </si>
  <si>
    <t>plainly</t>
  </si>
  <si>
    <t>明顯地</t>
    <phoneticPr fontId="1" type="noConversion"/>
  </si>
  <si>
    <t>exhaustive</t>
  </si>
  <si>
    <t>徹底的；詳盡的；</t>
    <phoneticPr fontId="1" type="noConversion"/>
  </si>
  <si>
    <t>thereby</t>
  </si>
  <si>
    <t>因此，由此；從而</t>
    <phoneticPr fontId="1" type="noConversion"/>
  </si>
  <si>
    <t>adoption</t>
  </si>
  <si>
    <t>接受；採用；採納</t>
    <phoneticPr fontId="1" type="noConversion"/>
  </si>
  <si>
    <t>collaboration</t>
  </si>
  <si>
    <t>合作；協作</t>
    <phoneticPr fontId="1" type="noConversion"/>
  </si>
  <si>
    <t>commitment</t>
  </si>
  <si>
    <t>忠誠；投入；奉獻；承諾</t>
    <phoneticPr fontId="1" type="noConversion"/>
  </si>
  <si>
    <t>likelihood</t>
  </si>
  <si>
    <t>可能，可能性</t>
    <phoneticPr fontId="1" type="noConversion"/>
  </si>
  <si>
    <t>荒謬的，荒唐的</t>
    <phoneticPr fontId="1" type="noConversion"/>
  </si>
  <si>
    <t>drastic</t>
  </si>
  <si>
    <t>嚴厲的，猛烈的</t>
    <phoneticPr fontId="1" type="noConversion"/>
  </si>
  <si>
    <t xml:space="preserve">attempt </t>
  </si>
  <si>
    <t>努力，嘗試</t>
    <phoneticPr fontId="1" type="noConversion"/>
  </si>
  <si>
    <t>防止，避免</t>
    <phoneticPr fontId="1" type="noConversion"/>
  </si>
  <si>
    <t>avert</t>
  </si>
  <si>
    <t>struggle</t>
  </si>
  <si>
    <t>奮鬥，努力，拼搏</t>
    <phoneticPr fontId="1" type="noConversion"/>
  </si>
  <si>
    <t>salvage</t>
  </si>
  <si>
    <t>搶救, 挽救，挽回</t>
    <phoneticPr fontId="1" type="noConversion"/>
  </si>
  <si>
    <t>oversee</t>
  </si>
  <si>
    <t>監督；監察；監管</t>
    <phoneticPr fontId="1" type="noConversion"/>
  </si>
  <si>
    <t>pivotal</t>
  </si>
  <si>
    <t>關鍵性的，核心的</t>
    <phoneticPr fontId="1" type="noConversion"/>
  </si>
  <si>
    <t>cite</t>
  </si>
  <si>
    <t>舉例，引證</t>
    <phoneticPr fontId="1" type="noConversion"/>
  </si>
  <si>
    <t>affiliate</t>
  </si>
  <si>
    <t>使併入，使隸屬</t>
    <phoneticPr fontId="1" type="noConversion"/>
  </si>
  <si>
    <t>pray</t>
  </si>
  <si>
    <t>禱告，祈禱，祈望，祈求</t>
    <phoneticPr fontId="1" type="noConversion"/>
  </si>
  <si>
    <t>sake</t>
  </si>
  <si>
    <t>因爲；爲了;爲了幫助（某人）</t>
    <phoneticPr fontId="1" type="noConversion"/>
  </si>
  <si>
    <t>pending</t>
  </si>
  <si>
    <t>即將發生的；待定的，待決的</t>
    <phoneticPr fontId="1" type="noConversion"/>
  </si>
  <si>
    <t>glut</t>
  </si>
  <si>
    <t>供過於求，供應過盛</t>
    <phoneticPr fontId="1" type="noConversion"/>
  </si>
  <si>
    <t>saturation</t>
  </si>
  <si>
    <t>飽和</t>
    <phoneticPr fontId="1" type="noConversion"/>
  </si>
  <si>
    <t>elevate</t>
  </si>
  <si>
    <t>抬高；提高</t>
    <phoneticPr fontId="1" type="noConversion"/>
  </si>
  <si>
    <t>depict</t>
  </si>
  <si>
    <t>描繪，描述，描寫</t>
    <phoneticPr fontId="1" type="noConversion"/>
  </si>
  <si>
    <t>vivid</t>
  </si>
  <si>
    <t>栩栩如生的，鮮活的</t>
    <phoneticPr fontId="1" type="noConversion"/>
  </si>
  <si>
    <t>perhaps</t>
  </si>
  <si>
    <t>或許，可能</t>
    <phoneticPr fontId="1" type="noConversion"/>
  </si>
  <si>
    <t>競爭對手；敵手</t>
    <phoneticPr fontId="1" type="noConversion"/>
  </si>
  <si>
    <t>rival</t>
  </si>
  <si>
    <t>discontinue</t>
  </si>
  <si>
    <t>停止，中止</t>
    <phoneticPr fontId="1" type="noConversion"/>
  </si>
  <si>
    <t>evolve</t>
  </si>
  <si>
    <t>（使）逐步發展</t>
    <phoneticPr fontId="1" type="noConversion"/>
  </si>
  <si>
    <t>intention</t>
  </si>
  <si>
    <t>意圖，打算</t>
    <phoneticPr fontId="1" type="noConversion"/>
  </si>
  <si>
    <t>abandon</t>
  </si>
  <si>
    <t>離棄；放棄</t>
    <phoneticPr fontId="1" type="noConversion"/>
  </si>
  <si>
    <t>abstract</t>
  </si>
  <si>
    <t>摘要；梗概</t>
    <phoneticPr fontId="1" type="noConversion"/>
  </si>
  <si>
    <t>entirely</t>
  </si>
  <si>
    <t>完全；徹底</t>
    <phoneticPr fontId="1" type="noConversion"/>
  </si>
  <si>
    <t>accommodate</t>
  </si>
  <si>
    <t>容納</t>
    <phoneticPr fontId="1" type="noConversion"/>
  </si>
  <si>
    <t>adapt</t>
  </si>
  <si>
    <t>使適應不同情況（或用途）；</t>
    <phoneticPr fontId="1" type="noConversion"/>
  </si>
  <si>
    <t>advocate</t>
  </si>
  <si>
    <t>主張；擁護；支持；提倡</t>
    <phoneticPr fontId="1" type="noConversion"/>
  </si>
  <si>
    <t>aggregate</t>
  </si>
  <si>
    <t>使聚集，使積聚</t>
    <phoneticPr fontId="1" type="noConversion"/>
  </si>
  <si>
    <t>allocate</t>
  </si>
  <si>
    <t>分配；分派；撥給，劃撥</t>
    <phoneticPr fontId="1" type="noConversion"/>
  </si>
  <si>
    <t>alter</t>
  </si>
  <si>
    <t>改動，修改；改變</t>
    <phoneticPr fontId="1" type="noConversion"/>
  </si>
  <si>
    <t>anticipate</t>
  </si>
  <si>
    <t>預期，期望；預料</t>
    <phoneticPr fontId="1" type="noConversion"/>
  </si>
  <si>
    <t>skyrocket</t>
  </si>
  <si>
    <t>暴漲，飛漲</t>
    <phoneticPr fontId="1" type="noConversion"/>
  </si>
  <si>
    <t>append</t>
  </si>
  <si>
    <t>附加，增補</t>
    <phoneticPr fontId="1" type="noConversion"/>
  </si>
  <si>
    <t>appropriate</t>
  </si>
  <si>
    <t>挪用；佔用</t>
    <phoneticPr fontId="1" type="noConversion"/>
  </si>
  <si>
    <t>attain</t>
  </si>
  <si>
    <t>實現；獲得；贏得</t>
    <phoneticPr fontId="1" type="noConversion"/>
  </si>
  <si>
    <t>attribute</t>
  </si>
  <si>
    <t>歸因於</t>
    <phoneticPr fontId="1" type="noConversion"/>
  </si>
  <si>
    <t>bias</t>
  </si>
  <si>
    <t>偏見</t>
    <phoneticPr fontId="1" type="noConversion"/>
  </si>
  <si>
    <t>bond</t>
  </si>
  <si>
    <t>聯合；團結</t>
    <phoneticPr fontId="1" type="noConversion"/>
  </si>
  <si>
    <t>cease</t>
  </si>
  <si>
    <t>coincide</t>
  </si>
  <si>
    <t>同時發生</t>
    <phoneticPr fontId="1" type="noConversion"/>
  </si>
  <si>
    <t>collapse</t>
  </si>
  <si>
    <t>倒塌;  失敗</t>
    <phoneticPr fontId="1" type="noConversion"/>
  </si>
  <si>
    <t>commission</t>
  </si>
  <si>
    <t>委託；請求</t>
    <phoneticPr fontId="1" type="noConversion"/>
  </si>
  <si>
    <t>suburb</t>
  </si>
  <si>
    <t>城郊；近郊住宅區</t>
    <phoneticPr fontId="1" type="noConversion"/>
  </si>
  <si>
    <t>C</t>
    <phoneticPr fontId="1" type="noConversion"/>
  </si>
  <si>
    <t>complement</t>
  </si>
  <si>
    <t>補充；補足；使完善</t>
    <phoneticPr fontId="1" type="noConversion"/>
  </si>
  <si>
    <t>compound</t>
  </si>
  <si>
    <t>使加重，使加劇，使惡化</t>
    <phoneticPr fontId="1" type="noConversion"/>
  </si>
  <si>
    <t>comprise</t>
  </si>
  <si>
    <t>包含；包括；構成，組成</t>
    <phoneticPr fontId="1" type="noConversion"/>
  </si>
  <si>
    <t>conceive</t>
  </si>
  <si>
    <t>想像；想出；構想</t>
    <phoneticPr fontId="1" type="noConversion"/>
  </si>
  <si>
    <t>confer</t>
  </si>
  <si>
    <t>商討，商議; 賦予</t>
    <phoneticPr fontId="1" type="noConversion"/>
  </si>
  <si>
    <t>confine</t>
  </si>
  <si>
    <t>把…局限在，限制</t>
    <phoneticPr fontId="1" type="noConversion"/>
  </si>
  <si>
    <t>conform</t>
  </si>
  <si>
    <t>順從；遵從</t>
    <phoneticPr fontId="1" type="noConversion"/>
  </si>
  <si>
    <t>consent</t>
  </si>
  <si>
    <t>同意；答應；許可，允許</t>
    <phoneticPr fontId="1" type="noConversion"/>
  </si>
  <si>
    <t>constitute</t>
  </si>
  <si>
    <t>形成；構成；組成</t>
    <phoneticPr fontId="1" type="noConversion"/>
  </si>
  <si>
    <t>constrain</t>
  </si>
  <si>
    <t>限制；約束；束縛</t>
    <phoneticPr fontId="1" type="noConversion"/>
  </si>
  <si>
    <t>contradict</t>
  </si>
  <si>
    <t>反駁，否定；相矛盾，有抵觸</t>
    <phoneticPr fontId="1" type="noConversion"/>
  </si>
  <si>
    <t>contrast</t>
  </si>
  <si>
    <t>對照，對比</t>
    <phoneticPr fontId="1" type="noConversion"/>
  </si>
  <si>
    <t>convene</t>
  </si>
  <si>
    <t>召開，召集（會議）；</t>
    <phoneticPr fontId="1" type="noConversion"/>
  </si>
  <si>
    <t>converse</t>
  </si>
  <si>
    <t>（和…）交談</t>
    <phoneticPr fontId="1" type="noConversion"/>
  </si>
  <si>
    <t>credit</t>
  </si>
  <si>
    <t>信任，相信; 歸功於</t>
    <phoneticPr fontId="1" type="noConversion"/>
  </si>
  <si>
    <t>decline</t>
  </si>
  <si>
    <t>減少，衰落; 拒絕，謝絕</t>
    <phoneticPr fontId="1" type="noConversion"/>
  </si>
  <si>
    <t>deduce</t>
  </si>
  <si>
    <t>推斷，推論</t>
    <phoneticPr fontId="1" type="noConversion"/>
  </si>
  <si>
    <t>denote</t>
  </si>
  <si>
    <t>表示，代表</t>
    <phoneticPr fontId="1" type="noConversion"/>
  </si>
  <si>
    <t>derive</t>
  </si>
  <si>
    <t>從…中得到，從…中獲得</t>
    <phoneticPr fontId="1" type="noConversion"/>
  </si>
  <si>
    <t>deviate</t>
  </si>
  <si>
    <t>脫離；出格，違背規則</t>
    <phoneticPr fontId="1" type="noConversion"/>
  </si>
  <si>
    <t>devote</t>
  </si>
  <si>
    <t>將…貢獻給; 將…用於</t>
    <phoneticPr fontId="1" type="noConversion"/>
  </si>
  <si>
    <t>discriminate</t>
  </si>
  <si>
    <t>歧視；區別對待</t>
    <phoneticPr fontId="1" type="noConversion"/>
  </si>
  <si>
    <t>displace</t>
  </si>
  <si>
    <t>迫使…離開常居地</t>
    <phoneticPr fontId="1" type="noConversion"/>
  </si>
  <si>
    <t>distort</t>
  </si>
  <si>
    <t>扭曲；使變形；歪曲</t>
    <phoneticPr fontId="1" type="noConversion"/>
  </si>
  <si>
    <t>dominate</t>
  </si>
  <si>
    <t>統治；控制;擁有優勢；最明顯的</t>
    <phoneticPr fontId="1" type="noConversion"/>
  </si>
  <si>
    <t>encounter</t>
  </si>
  <si>
    <t>偶然相遇; 遇到（尤指不愉快的事情）</t>
    <phoneticPr fontId="1" type="noConversion"/>
  </si>
  <si>
    <t>enforce</t>
  </si>
  <si>
    <t>實行，執行</t>
    <phoneticPr fontId="1" type="noConversion"/>
  </si>
  <si>
    <t>equate</t>
  </si>
  <si>
    <t>同等看待；使等同；使相等</t>
    <phoneticPr fontId="1" type="noConversion"/>
  </si>
  <si>
    <t>erode</t>
  </si>
  <si>
    <t>削弱；逐步破壞</t>
    <phoneticPr fontId="1" type="noConversion"/>
  </si>
  <si>
    <t>exhibit</t>
  </si>
  <si>
    <t>展出，展覽；展示</t>
    <phoneticPr fontId="1" type="noConversion"/>
  </si>
  <si>
    <t>exploit</t>
  </si>
  <si>
    <t>利用；開發；利用；剝削</t>
    <phoneticPr fontId="1" type="noConversion"/>
  </si>
  <si>
    <t>cruel</t>
  </si>
  <si>
    <t>殘忍的；殘酷的</t>
    <phoneticPr fontId="1" type="noConversion"/>
  </si>
  <si>
    <t>torturing</t>
  </si>
  <si>
    <t>折磨，煎熬</t>
    <phoneticPr fontId="1" type="noConversion"/>
  </si>
  <si>
    <t>indulgence</t>
  </si>
  <si>
    <t>沉溺；放縱</t>
    <phoneticPr fontId="1" type="noConversion"/>
  </si>
  <si>
    <t>furious</t>
  </si>
  <si>
    <t>極其生氣的，怒不可遏的</t>
    <phoneticPr fontId="1" type="noConversion"/>
  </si>
  <si>
    <t>Total</t>
    <phoneticPr fontId="1" type="noConversion"/>
  </si>
  <si>
    <t>deny</t>
    <phoneticPr fontId="1" type="noConversion"/>
  </si>
  <si>
    <t>d___</t>
    <phoneticPr fontId="1" type="noConversion"/>
  </si>
  <si>
    <t>eny</t>
    <phoneticPr fontId="1" type="noConversion"/>
  </si>
  <si>
    <t>futile</t>
  </si>
  <si>
    <t>無作用的；無效的；不成功的</t>
    <phoneticPr fontId="1" type="noConversion"/>
  </si>
  <si>
    <t>hefty</t>
  </si>
  <si>
    <t>大的，可觀的</t>
    <phoneticPr fontId="1" type="noConversion"/>
  </si>
  <si>
    <t>嚴重的；危急的；極端的</t>
    <phoneticPr fontId="1" type="noConversion"/>
  </si>
  <si>
    <t>spike</t>
  </si>
  <si>
    <t xml:space="preserve">尖頭，尖刺; 上升至非常高的數量 </t>
    <phoneticPr fontId="1" type="noConversion"/>
  </si>
  <si>
    <t>overwhelm</t>
  </si>
  <si>
    <t>制服，擊敗; 使難以承受</t>
    <phoneticPr fontId="1" type="noConversion"/>
  </si>
  <si>
    <t>desperate</t>
  </si>
  <si>
    <t>非常嚴重的；非常糟糕的; 巨大的</t>
    <phoneticPr fontId="1" type="noConversion"/>
  </si>
  <si>
    <t>adequate</t>
  </si>
  <si>
    <t>足夠的；合格的；合乎需要的</t>
    <phoneticPr fontId="1" type="noConversion"/>
  </si>
  <si>
    <t>immunity</t>
  </si>
  <si>
    <t>免疫；免除；豁免</t>
    <phoneticPr fontId="1" type="noConversion"/>
  </si>
  <si>
    <t>despise</t>
  </si>
  <si>
    <t>鄙視，蔑視；厭惡</t>
    <phoneticPr fontId="1" type="noConversion"/>
  </si>
  <si>
    <t>miserable</t>
  </si>
  <si>
    <t>痛苦的；可憐的</t>
    <phoneticPr fontId="1" type="noConversion"/>
  </si>
  <si>
    <t>（狀況）趨於平緩，平息</t>
    <phoneticPr fontId="1" type="noConversion"/>
  </si>
  <si>
    <t>escort</t>
  </si>
  <si>
    <t>陪伴；陪送；陪同</t>
    <phoneticPr fontId="1" type="noConversion"/>
  </si>
  <si>
    <t>blossom</t>
  </si>
  <si>
    <t>（植物）開花;  變得更有魅力</t>
    <phoneticPr fontId="1" type="noConversion"/>
  </si>
  <si>
    <t>dire</t>
    <phoneticPr fontId="1" type="noConversion"/>
  </si>
  <si>
    <t>disaster</t>
    <phoneticPr fontId="1" type="noConversion"/>
  </si>
  <si>
    <t>subside</t>
    <phoneticPr fontId="1" type="noConversion"/>
  </si>
  <si>
    <t>widespread</t>
  </si>
  <si>
    <t>廣泛的；普遍的；遍佈的</t>
    <phoneticPr fontId="1" type="noConversion"/>
  </si>
  <si>
    <t>skeptic</t>
  </si>
  <si>
    <t>持懷疑態度的人</t>
    <phoneticPr fontId="1" type="noConversion"/>
  </si>
  <si>
    <t>threshold</t>
  </si>
  <si>
    <t>門檻</t>
    <phoneticPr fontId="1" type="noConversion"/>
  </si>
  <si>
    <t>deepen</t>
  </si>
  <si>
    <t>加深；（使）變深</t>
    <phoneticPr fontId="1" type="noConversion"/>
  </si>
  <si>
    <t>judicious</t>
  </si>
  <si>
    <t>明斷的；明智而審慎的</t>
    <phoneticPr fontId="1" type="noConversion"/>
  </si>
  <si>
    <t>grossly</t>
  </si>
  <si>
    <t>非常，極端，極其</t>
    <phoneticPr fontId="1" type="noConversion"/>
  </si>
  <si>
    <t>impending</t>
  </si>
  <si>
    <t>即將發生的，逼近的</t>
    <phoneticPr fontId="1" type="noConversion"/>
  </si>
  <si>
    <t>ravaging</t>
  </si>
  <si>
    <t>嚴重破壞；損壞；毀壞</t>
    <phoneticPr fontId="1" type="noConversion"/>
  </si>
  <si>
    <t>detention</t>
  </si>
  <si>
    <t>拘留，關押</t>
    <phoneticPr fontId="1" type="noConversion"/>
  </si>
  <si>
    <t>移民</t>
    <phoneticPr fontId="1" type="noConversion"/>
  </si>
  <si>
    <t>migrant</t>
  </si>
  <si>
    <t>detain</t>
  </si>
  <si>
    <t>使留下；拘留，扣押</t>
    <phoneticPr fontId="1" type="noConversion"/>
  </si>
  <si>
    <t>resist</t>
  </si>
  <si>
    <t>反抗；回擊；抵抗</t>
    <phoneticPr fontId="1" type="noConversion"/>
  </si>
  <si>
    <t>extract</t>
  </si>
  <si>
    <t>取出；拔出；提取</t>
    <phoneticPr fontId="1" type="noConversion"/>
  </si>
  <si>
    <t>facilitate</t>
  </si>
  <si>
    <t>促進；促使；使便利</t>
    <phoneticPr fontId="1" type="noConversion"/>
  </si>
  <si>
    <t>feature</t>
  </si>
  <si>
    <t>以…為特色；給…以顯著的地位</t>
    <phoneticPr fontId="1" type="noConversion"/>
  </si>
  <si>
    <t>fluctuate</t>
  </si>
  <si>
    <t>波動，起伏不定</t>
    <phoneticPr fontId="1" type="noConversion"/>
  </si>
  <si>
    <t>illustrate</t>
  </si>
  <si>
    <t>說明，闡明</t>
    <phoneticPr fontId="1" type="noConversion"/>
  </si>
  <si>
    <t>implicate</t>
  </si>
  <si>
    <t>牽連，涉及</t>
    <phoneticPr fontId="1" type="noConversion"/>
  </si>
  <si>
    <t>imply</t>
  </si>
  <si>
    <t>暗指，暗示 ;必然包含</t>
    <phoneticPr fontId="1" type="noConversion"/>
  </si>
  <si>
    <t>incline</t>
  </si>
  <si>
    <t>（使）傾向於</t>
    <phoneticPr fontId="1" type="noConversion"/>
  </si>
  <si>
    <t>incorporate</t>
  </si>
  <si>
    <t>包含；將…包括在內</t>
    <phoneticPr fontId="1" type="noConversion"/>
  </si>
  <si>
    <t>indicate</t>
  </si>
  <si>
    <t>標示；表明；顯示；暗示</t>
    <phoneticPr fontId="1" type="noConversion"/>
  </si>
  <si>
    <t>induce</t>
  </si>
  <si>
    <t>誘使；勸說</t>
    <phoneticPr fontId="1" type="noConversion"/>
  </si>
  <si>
    <t>infer</t>
  </si>
  <si>
    <t>推斷，推論，推理</t>
    <phoneticPr fontId="1" type="noConversion"/>
  </si>
  <si>
    <t>thorough</t>
  </si>
  <si>
    <t>仔細的</t>
    <phoneticPr fontId="1" type="noConversion"/>
  </si>
  <si>
    <t>inhibit</t>
  </si>
  <si>
    <t>使…拘謹；使…有顧忌</t>
    <phoneticPr fontId="1" type="noConversion"/>
  </si>
  <si>
    <t>initiate</t>
  </si>
  <si>
    <t>開始，創始</t>
    <phoneticPr fontId="1" type="noConversion"/>
  </si>
  <si>
    <t>innovate</t>
  </si>
  <si>
    <t>改革；創新</t>
    <phoneticPr fontId="1" type="noConversion"/>
  </si>
  <si>
    <t>injure</t>
  </si>
  <si>
    <t>傷害，損害</t>
    <phoneticPr fontId="1" type="noConversion"/>
  </si>
  <si>
    <t>instruct</t>
  </si>
  <si>
    <t>指示，命令，吩咐</t>
    <phoneticPr fontId="1" type="noConversion"/>
  </si>
  <si>
    <t>integrate</t>
  </si>
  <si>
    <t>（使）融入（某社會或群體</t>
    <phoneticPr fontId="1" type="noConversion"/>
  </si>
  <si>
    <t>invoke</t>
  </si>
  <si>
    <t>喚起，引起，使記起</t>
    <phoneticPr fontId="1" type="noConversion"/>
  </si>
  <si>
    <t>isolate</t>
  </si>
  <si>
    <t>隔離；孤立；分離</t>
    <phoneticPr fontId="1" type="noConversion"/>
  </si>
  <si>
    <t>justify</t>
  </si>
  <si>
    <t>為…辯護；證明…正當</t>
    <phoneticPr fontId="1" type="noConversion"/>
  </si>
  <si>
    <t>labour</t>
  </si>
  <si>
    <t>勞動，勞作，做粗活</t>
    <phoneticPr fontId="1" type="noConversion"/>
  </si>
  <si>
    <t>corroborate</t>
  </si>
  <si>
    <t>證實，確證</t>
    <phoneticPr fontId="1" type="noConversion"/>
  </si>
  <si>
    <t>fraction</t>
  </si>
  <si>
    <t>極小的部分</t>
    <phoneticPr fontId="1" type="noConversion"/>
  </si>
  <si>
    <t>alleged</t>
  </si>
  <si>
    <t>被說成的</t>
    <phoneticPr fontId="1" type="noConversion"/>
  </si>
  <si>
    <t>culminate</t>
  </si>
  <si>
    <t>以…告終；達到…的頂點</t>
    <phoneticPr fontId="1" type="noConversion"/>
  </si>
  <si>
    <t>influential</t>
  </si>
  <si>
    <t>有影響力的</t>
    <phoneticPr fontId="1" type="noConversion"/>
  </si>
  <si>
    <t>compelled</t>
  </si>
  <si>
    <t>被迫的，不得不，有必要</t>
    <phoneticPr fontId="1" type="noConversion"/>
  </si>
  <si>
    <t>scramble</t>
  </si>
  <si>
    <t>爭搶</t>
    <phoneticPr fontId="1" type="noConversion"/>
  </si>
  <si>
    <t>nowhere</t>
  </si>
  <si>
    <t>任何地方都不；無處</t>
    <phoneticPr fontId="1" type="noConversion"/>
  </si>
  <si>
    <t>dismantle</t>
  </si>
  <si>
    <t>拆開，拆卸</t>
    <phoneticPr fontId="1" type="noConversion"/>
  </si>
  <si>
    <t>engagement</t>
  </si>
  <si>
    <t>約定；約會；預約</t>
    <phoneticPr fontId="1" type="noConversion"/>
  </si>
  <si>
    <t>urge</t>
  </si>
  <si>
    <t>慾望，衝動; 敦促；驅策</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</si>
</sst>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2"/>
      <color theme="1"/>
      <name val="新細明體"/>
      <family val="2"/>
      <charset val="136"/>
      <scheme val="minor"/>
    </font>
    <font>
      <sz val="9"/>
      <name val="新細明體"/>
      <family val="2"/>
      <charset val="136"/>
      <scheme val="minor"/>
    </font>
    <font>
      <sz val="18"/>
      <color theme="1" tint="4.9989318521683403E-2"/>
      <name val="新細明體"/>
      <family val="2"/>
      <charset val="136"/>
      <scheme val="minor"/>
    </font>
    <font>
      <u/>
      <sz val="12"/>
      <color theme="1"/>
      <name val="新細明體"/>
      <family val="1"/>
      <charset val="136"/>
      <scheme val="minor"/>
    </font>
    <font>
      <sz val="12"/>
      <color theme="1"/>
      <name val="新細明體"/>
      <family val="1"/>
      <charset val="136"/>
      <scheme val="minor"/>
    </font>
    <font>
      <sz val="12"/>
      <color theme="1"/>
      <name val="Times New Roman"/>
      <family val="1"/>
    </font>
    <font>
      <u/>
      <sz val="12"/>
      <color theme="1"/>
      <name val="新細明體"/>
      <family val="2"/>
      <charset val="136"/>
      <scheme val="minor"/>
    </font>
    <font>
      <sz val="12"/>
      <color theme="1"/>
      <name val="Cambria Math"/>
      <family val="2"/>
    </font>
    <font>
      <sz val="6"/>
      <color rgb="FF363636"/>
      <name val="Segoe UI"/>
      <family val="2"/>
    </font>
    <font>
      <sz val="19.2"/>
      <color rgb="FF1E1E1E"/>
      <name val="Segoe UI"/>
      <family val="2"/>
    </font>
    <font>
      <sz val="16"/>
      <color theme="1"/>
      <name val="新細明體"/>
      <family val="2"/>
      <charset val="136"/>
      <scheme val="minor"/>
    </font>
  </fonts>
  <fills count="2">
    <fill>
      <patternFill patternType="none"/>
    </fill>
    <fill>
      <patternFill patternType="gray125"/>
    </fill>
  </fills>
  <borders count="2">
    <border>
      <left/>
      <right/>
      <top/>
      <bottom/>
      <diagonal/>
    </border>
    <border>
      <left/>
      <right/>
      <top style="medium">
        <color rgb="FFCCCCCC"/>
      </top>
      <bottom/>
      <diagonal/>
    </border>
  </borders>
  <cellStyleXfs count="1">
    <xf numFmtId="0" fontId="0" fillId="0" borderId="0">
      <alignment vertical="center"/>
    </xf>
  </cellStyleXfs>
  <cellXfs count="15">
    <xf numFmtId="0" fontId="0" fillId="0" borderId="0" xfId="0">
      <alignment vertical="center"/>
    </xf>
    <xf numFmtId="0" fontId="0" fillId="0" borderId="0" xfId="0" applyAlignment="1">
      <alignment vertical="center" wrapText="1"/>
    </xf>
    <xf numFmtId="0" fontId="5" fillId="0" borderId="0" xfId="0" applyFont="1">
      <alignment vertical="center"/>
    </xf>
    <xf numFmtId="0" fontId="5" fillId="0" borderId="0" xfId="0" applyFont="1" applyAlignment="1">
      <alignment vertical="center" wrapText="1"/>
    </xf>
    <xf numFmtId="0" fontId="0" fillId="0" borderId="0" xfId="0" applyAlignment="1">
      <alignment vertical="center"/>
    </xf>
    <xf numFmtId="0" fontId="4" fillId="0" borderId="0" xfId="0" applyFont="1" applyAlignment="1">
      <alignment vertical="center" wrapText="1"/>
    </xf>
    <xf numFmtId="0" fontId="0" fillId="0" borderId="0" xfId="0" applyFill="1" applyBorder="1" applyAlignment="1">
      <alignment vertical="top" wrapText="1"/>
    </xf>
    <xf numFmtId="0" fontId="0" fillId="0" borderId="0" xfId="0" applyBorder="1" applyAlignment="1">
      <alignment vertical="center" wrapText="1"/>
    </xf>
    <xf numFmtId="0" fontId="2" fillId="0" borderId="0" xfId="0" applyFont="1" applyFill="1">
      <alignment vertical="center"/>
    </xf>
    <xf numFmtId="0" fontId="10" fillId="0" borderId="0" xfId="0" applyFont="1" applyFill="1" applyBorder="1" applyAlignment="1">
      <alignment vertical="center" wrapText="1"/>
    </xf>
    <xf numFmtId="0" fontId="0" fillId="0" borderId="0" xfId="0" applyBorder="1" applyAlignment="1">
      <alignment vertical="center"/>
    </xf>
    <xf numFmtId="0" fontId="8" fillId="0" borderId="1" xfId="0" applyFont="1" applyFill="1" applyBorder="1" applyAlignment="1">
      <alignment vertical="top" wrapText="1"/>
    </xf>
    <xf numFmtId="0" fontId="0" fillId="0" borderId="0" xfId="0" applyBorder="1">
      <alignment vertical="center"/>
    </xf>
    <xf numFmtId="0" fontId="0" fillId="0" borderId="0" xfId="0" applyAlignment="1">
      <alignment horizontal="left" vertical="center"/>
    </xf>
    <xf numFmtId="0" fontId="9" fillId="0" borderId="0" xfId="0" applyFont="1" applyFill="1" applyBorder="1" applyAlignment="1">
      <alignment vertical="center" wrapText="1"/>
    </xf>
  </cellXfs>
  <cellStyles count="1">
    <cellStyle name="一般"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79176FB0-B7F2-11CE-97EF-00AA006D2776}" ax:persistence="persistStreamInit" r:id="rId1"/>
</file>

<file path=xl/activeX/activeX3.xml><?xml version="1.0" encoding="utf-8"?>
<ax:ocx xmlns:ax="http://schemas.microsoft.com/office/2006/activeX" xmlns:r="http://schemas.openxmlformats.org/officeDocument/2006/relationships" ax:classid="{79176FB0-B7F2-11CE-97EF-00AA006D2776}"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image" Target="../media/image6.emf"/><Relationship Id="rId7" Type="http://schemas.openxmlformats.org/officeDocument/2006/relationships/image" Target="../media/image4.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0.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emf"/><Relationship Id="rId4" Type="http://schemas.openxmlformats.org/officeDocument/2006/relationships/image" Target="../media/image9.emf"/><Relationship Id="rId9"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5.emf"/><Relationship Id="rId1" Type="http://schemas.openxmlformats.org/officeDocument/2006/relationships/image" Target="../media/image14.emf"/><Relationship Id="rId5" Type="http://schemas.openxmlformats.org/officeDocument/2006/relationships/image" Target="../media/image16.emf"/><Relationship Id="rId4"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2179320</xdr:colOff>
          <xdr:row>0</xdr:row>
          <xdr:rowOff>121920</xdr:rowOff>
        </xdr:from>
        <xdr:to>
          <xdr:col>4</xdr:col>
          <xdr:colOff>2796540</xdr:colOff>
          <xdr:row>1</xdr:row>
          <xdr:rowOff>0</xdr:rowOff>
        </xdr:to>
        <xdr:sp macro="" textlink="">
          <xdr:nvSpPr>
            <xdr:cNvPr id="1025" name="nextbutton"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7620</xdr:rowOff>
        </xdr:from>
        <xdr:to>
          <xdr:col>7</xdr:col>
          <xdr:colOff>731520</xdr:colOff>
          <xdr:row>10</xdr:row>
          <xdr:rowOff>198120</xdr:rowOff>
        </xdr:to>
        <xdr:sp macro="" textlink="">
          <xdr:nvSpPr>
            <xdr:cNvPr id="1030" name="ComboBox1"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1493520</xdr:colOff>
          <xdr:row>0</xdr:row>
          <xdr:rowOff>121920</xdr:rowOff>
        </xdr:from>
        <xdr:to>
          <xdr:col>4</xdr:col>
          <xdr:colOff>2141220</xdr:colOff>
          <xdr:row>1</xdr:row>
          <xdr:rowOff>0</xdr:rowOff>
        </xdr:to>
        <xdr:sp macro="" textlink="">
          <xdr:nvSpPr>
            <xdr:cNvPr id="1032" name="start"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2796540</xdr:colOff>
          <xdr:row>10</xdr:row>
          <xdr:rowOff>0</xdr:rowOff>
        </xdr:from>
        <xdr:to>
          <xdr:col>4</xdr:col>
          <xdr:colOff>3451860</xdr:colOff>
          <xdr:row>11</xdr:row>
          <xdr:rowOff>45720</xdr:rowOff>
        </xdr:to>
        <xdr:sp macro="" textlink="">
          <xdr:nvSpPr>
            <xdr:cNvPr id="1034" name="submit"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2849880</xdr:colOff>
          <xdr:row>0</xdr:row>
          <xdr:rowOff>137160</xdr:rowOff>
        </xdr:from>
        <xdr:to>
          <xdr:col>4</xdr:col>
          <xdr:colOff>3649980</xdr:colOff>
          <xdr:row>0</xdr:row>
          <xdr:rowOff>373380</xdr:rowOff>
        </xdr:to>
        <xdr:sp macro="" textlink="">
          <xdr:nvSpPr>
            <xdr:cNvPr id="1035" name="mode"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3688080</xdr:colOff>
          <xdr:row>1</xdr:row>
          <xdr:rowOff>60960</xdr:rowOff>
        </xdr:from>
        <xdr:to>
          <xdr:col>7</xdr:col>
          <xdr:colOff>723900</xdr:colOff>
          <xdr:row>1</xdr:row>
          <xdr:rowOff>350520</xdr:rowOff>
        </xdr:to>
        <xdr:sp macro="" textlink="">
          <xdr:nvSpPr>
            <xdr:cNvPr id="1038" name="go_button"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3703320</xdr:colOff>
          <xdr:row>0</xdr:row>
          <xdr:rowOff>114300</xdr:rowOff>
        </xdr:from>
        <xdr:to>
          <xdr:col>8</xdr:col>
          <xdr:colOff>60960</xdr:colOff>
          <xdr:row>1</xdr:row>
          <xdr:rowOff>0</xdr:rowOff>
        </xdr:to>
        <xdr:sp macro="" textlink="">
          <xdr:nvSpPr>
            <xdr:cNvPr id="1039" name="option_button"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30480</xdr:colOff>
          <xdr:row>0</xdr:row>
          <xdr:rowOff>213360</xdr:rowOff>
        </xdr:from>
        <xdr:to>
          <xdr:col>14</xdr:col>
          <xdr:colOff>0</xdr:colOff>
          <xdr:row>1</xdr:row>
          <xdr:rowOff>45720</xdr:rowOff>
        </xdr:to>
        <xdr:sp macro="" textlink="">
          <xdr:nvSpPr>
            <xdr:cNvPr id="1047" name="SpinButton2"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175260</xdr:colOff>
          <xdr:row>3</xdr:row>
          <xdr:rowOff>251460</xdr:rowOff>
        </xdr:from>
        <xdr:to>
          <xdr:col>20</xdr:col>
          <xdr:colOff>373380</xdr:colOff>
          <xdr:row>5</xdr:row>
          <xdr:rowOff>373380</xdr:rowOff>
        </xdr:to>
        <xdr:sp macro="" textlink="">
          <xdr:nvSpPr>
            <xdr:cNvPr id="1048" name="SpinButton1"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2766060</xdr:colOff>
          <xdr:row>7</xdr:row>
          <xdr:rowOff>464820</xdr:rowOff>
        </xdr:from>
        <xdr:to>
          <xdr:col>4</xdr:col>
          <xdr:colOff>3672840</xdr:colOff>
          <xdr:row>9</xdr:row>
          <xdr:rowOff>7620</xdr:rowOff>
        </xdr:to>
        <xdr:sp macro="" textlink="">
          <xdr:nvSpPr>
            <xdr:cNvPr id="1049" name="chrome_button" hidden="1">
              <a:extLst>
                <a:ext uri="{63B3BB69-23CF-44E3-9099-C40C66FF867C}">
                  <a14:compatExt spid="_x0000_s1049"/>
                </a:ext>
                <a:ext uri="{FF2B5EF4-FFF2-40B4-BE49-F238E27FC236}">
                  <a16:creationId xmlns:a16="http://schemas.microsoft.com/office/drawing/2014/main" id="{00000000-0008-0000-01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1722120</xdr:colOff>
          <xdr:row>7</xdr:row>
          <xdr:rowOff>464820</xdr:rowOff>
        </xdr:from>
        <xdr:to>
          <xdr:col>4</xdr:col>
          <xdr:colOff>2735580</xdr:colOff>
          <xdr:row>9</xdr:row>
          <xdr:rowOff>22860</xdr:rowOff>
        </xdr:to>
        <xdr:sp macro="" textlink="">
          <xdr:nvSpPr>
            <xdr:cNvPr id="1050" name="loadLast"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60960</xdr:colOff>
          <xdr:row>5</xdr:row>
          <xdr:rowOff>83820</xdr:rowOff>
        </xdr:from>
        <xdr:to>
          <xdr:col>3</xdr:col>
          <xdr:colOff>76200</xdr:colOff>
          <xdr:row>6</xdr:row>
          <xdr:rowOff>121920</xdr:rowOff>
        </xdr:to>
        <xdr:sp macro="" textlink="">
          <xdr:nvSpPr>
            <xdr:cNvPr id="2049" name="nextbutton"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xdr:colOff>
          <xdr:row>6</xdr:row>
          <xdr:rowOff>190500</xdr:rowOff>
        </xdr:from>
        <xdr:to>
          <xdr:col>3</xdr:col>
          <xdr:colOff>83820</xdr:colOff>
          <xdr:row>8</xdr:row>
          <xdr:rowOff>22860</xdr:rowOff>
        </xdr:to>
        <xdr:sp macro="" textlink="">
          <xdr:nvSpPr>
            <xdr:cNvPr id="2050" name="submitbutton"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xdr:row>
          <xdr:rowOff>38100</xdr:rowOff>
        </xdr:from>
        <xdr:to>
          <xdr:col>0</xdr:col>
          <xdr:colOff>861060</xdr:colOff>
          <xdr:row>5</xdr:row>
          <xdr:rowOff>0</xdr:rowOff>
        </xdr:to>
        <xdr:sp macro="" textlink="">
          <xdr:nvSpPr>
            <xdr:cNvPr id="2051" name="TextBox1"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xdr:row>
          <xdr:rowOff>22860</xdr:rowOff>
        </xdr:from>
        <xdr:to>
          <xdr:col>3</xdr:col>
          <xdr:colOff>91440</xdr:colOff>
          <xdr:row>5</xdr:row>
          <xdr:rowOff>7620</xdr:rowOff>
        </xdr:to>
        <xdr:sp macro="" textlink="">
          <xdr:nvSpPr>
            <xdr:cNvPr id="2052" name="CommandButton1"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45720</xdr:colOff>
          <xdr:row>8</xdr:row>
          <xdr:rowOff>99060</xdr:rowOff>
        </xdr:from>
        <xdr:to>
          <xdr:col>3</xdr:col>
          <xdr:colOff>0</xdr:colOff>
          <xdr:row>9</xdr:row>
          <xdr:rowOff>114300</xdr:rowOff>
        </xdr:to>
        <xdr:sp macro="" textlink="">
          <xdr:nvSpPr>
            <xdr:cNvPr id="2053" name="load_last" hidden="1">
              <a:extLst>
                <a:ext uri="{63B3BB69-23CF-44E3-9099-C40C66FF867C}">
                  <a14:compatExt spid="_x0000_s2053"/>
                </a:ext>
                <a:ext uri="{FF2B5EF4-FFF2-40B4-BE49-F238E27FC236}">
                  <a16:creationId xmlns:a16="http://schemas.microsoft.com/office/drawing/2014/main" id="{00000000-0008-0000-03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4.xml"/><Relationship Id="rId13" Type="http://schemas.openxmlformats.org/officeDocument/2006/relationships/image" Target="../media/image16.emf"/><Relationship Id="rId3" Type="http://schemas.openxmlformats.org/officeDocument/2006/relationships/vmlDrawing" Target="../drawings/vmlDrawing2.vml"/><Relationship Id="rId7" Type="http://schemas.openxmlformats.org/officeDocument/2006/relationships/image" Target="../media/image13.emf"/><Relationship Id="rId12" Type="http://schemas.openxmlformats.org/officeDocument/2006/relationships/control" Target="../activeX/activeX16.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ntrol" Target="../activeX/activeX13.xml"/><Relationship Id="rId11" Type="http://schemas.openxmlformats.org/officeDocument/2006/relationships/image" Target="../media/image15.emf"/><Relationship Id="rId5" Type="http://schemas.openxmlformats.org/officeDocument/2006/relationships/image" Target="../media/image12.emf"/><Relationship Id="rId10" Type="http://schemas.openxmlformats.org/officeDocument/2006/relationships/control" Target="../activeX/activeX15.xml"/><Relationship Id="rId4" Type="http://schemas.openxmlformats.org/officeDocument/2006/relationships/control" Target="../activeX/activeX12.xml"/><Relationship Id="rId9" Type="http://schemas.openxmlformats.org/officeDocument/2006/relationships/image" Target="../media/image1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4"/>
  <dimension ref="A1:R301"/>
  <sheetViews>
    <sheetView topLeftCell="A221" workbookViewId="0">
      <selection activeCell="G235" sqref="G235"/>
    </sheetView>
  </sheetViews>
  <sheetFormatPr defaultRowHeight="16.2" x14ac:dyDescent="0.3"/>
  <sheetData>
    <row r="1" spans="1:18" x14ac:dyDescent="0.3">
      <c r="A1" t="s">
        <v>454</v>
      </c>
      <c r="B1" t="s">
        <v>455</v>
      </c>
      <c r="R1">
        <v>0</v>
      </c>
    </row>
    <row r="2" spans="1:18" x14ac:dyDescent="0.3">
      <c r="A2" t="s">
        <v>367</v>
      </c>
      <c r="B2" t="s">
        <v>368</v>
      </c>
    </row>
    <row r="3" spans="1:18" x14ac:dyDescent="0.3">
      <c r="A3" t="s">
        <v>456</v>
      </c>
      <c r="B3" t="s">
        <v>457</v>
      </c>
    </row>
    <row r="4" spans="1:18" x14ac:dyDescent="0.3">
      <c r="A4" t="s">
        <v>177</v>
      </c>
      <c r="B4" t="s">
        <v>409</v>
      </c>
    </row>
    <row r="5" spans="1:18" x14ac:dyDescent="0.3">
      <c r="A5" t="s">
        <v>156</v>
      </c>
      <c r="B5" t="s">
        <v>157</v>
      </c>
    </row>
    <row r="6" spans="1:18" x14ac:dyDescent="0.3">
      <c r="A6" t="s">
        <v>460</v>
      </c>
      <c r="B6" t="s">
        <v>461</v>
      </c>
    </row>
    <row r="7" spans="1:18" x14ac:dyDescent="0.3">
      <c r="A7" t="s">
        <v>164</v>
      </c>
      <c r="B7" t="s">
        <v>101</v>
      </c>
      <c r="K7">
        <f>COUNTA(A1:A27)</f>
        <v>27</v>
      </c>
    </row>
    <row r="8" spans="1:18" x14ac:dyDescent="0.3">
      <c r="A8" t="s">
        <v>369</v>
      </c>
      <c r="B8" t="s">
        <v>370</v>
      </c>
    </row>
    <row r="9" spans="1:18" x14ac:dyDescent="0.3">
      <c r="A9" t="s">
        <v>206</v>
      </c>
      <c r="B9" t="s">
        <v>207</v>
      </c>
    </row>
    <row r="10" spans="1:18" x14ac:dyDescent="0.3">
      <c r="A10" t="s">
        <v>299</v>
      </c>
      <c r="B10" t="s">
        <v>300</v>
      </c>
    </row>
    <row r="11" spans="1:18" x14ac:dyDescent="0.3">
      <c r="A11" t="s">
        <v>462</v>
      </c>
      <c r="B11" t="s">
        <v>463</v>
      </c>
    </row>
    <row r="12" spans="1:18" x14ac:dyDescent="0.3">
      <c r="A12" t="s">
        <v>583</v>
      </c>
      <c r="B12" t="s">
        <v>584</v>
      </c>
    </row>
    <row r="13" spans="1:18" x14ac:dyDescent="0.3">
      <c r="A13" t="s">
        <v>401</v>
      </c>
      <c r="B13" t="s">
        <v>402</v>
      </c>
    </row>
    <row r="14" spans="1:18" x14ac:dyDescent="0.3">
      <c r="A14" t="s">
        <v>464</v>
      </c>
      <c r="B14" t="s">
        <v>465</v>
      </c>
    </row>
    <row r="15" spans="1:18" x14ac:dyDescent="0.3">
      <c r="A15" t="s">
        <v>426</v>
      </c>
      <c r="B15" t="s">
        <v>427</v>
      </c>
    </row>
    <row r="16" spans="1:18" x14ac:dyDescent="0.3">
      <c r="A16" t="s">
        <v>466</v>
      </c>
      <c r="B16" t="s">
        <v>467</v>
      </c>
    </row>
    <row r="17" spans="1:2" x14ac:dyDescent="0.3">
      <c r="A17" t="s">
        <v>105</v>
      </c>
      <c r="B17" t="s">
        <v>194</v>
      </c>
    </row>
    <row r="18" spans="1:2" x14ac:dyDescent="0.3">
      <c r="A18" t="s">
        <v>673</v>
      </c>
      <c r="B18" t="s">
        <v>674</v>
      </c>
    </row>
    <row r="19" spans="1:2" x14ac:dyDescent="0.3">
      <c r="A19" t="s">
        <v>468</v>
      </c>
      <c r="B19" t="s">
        <v>469</v>
      </c>
    </row>
    <row r="20" spans="1:2" x14ac:dyDescent="0.3">
      <c r="A20" t="s">
        <v>173</v>
      </c>
      <c r="B20" t="s">
        <v>174</v>
      </c>
    </row>
    <row r="21" spans="1:2" x14ac:dyDescent="0.3">
      <c r="A21" t="s">
        <v>470</v>
      </c>
      <c r="B21" t="s">
        <v>471</v>
      </c>
    </row>
    <row r="22" spans="1:2" x14ac:dyDescent="0.3">
      <c r="A22" t="s">
        <v>208</v>
      </c>
      <c r="B22" t="s">
        <v>209</v>
      </c>
    </row>
    <row r="23" spans="1:2" x14ac:dyDescent="0.3">
      <c r="A23" t="s">
        <v>472</v>
      </c>
      <c r="B23" t="s">
        <v>473</v>
      </c>
    </row>
    <row r="24" spans="1:2" x14ac:dyDescent="0.3">
      <c r="A24" t="s">
        <v>391</v>
      </c>
      <c r="B24" t="s">
        <v>392</v>
      </c>
    </row>
    <row r="25" spans="1:2" x14ac:dyDescent="0.3">
      <c r="A25" t="s">
        <v>476</v>
      </c>
      <c r="B25" t="s">
        <v>477</v>
      </c>
    </row>
    <row r="26" spans="1:2" x14ac:dyDescent="0.3">
      <c r="A26" t="s">
        <v>478</v>
      </c>
      <c r="B26" t="s">
        <v>479</v>
      </c>
    </row>
    <row r="27" spans="1:2" x14ac:dyDescent="0.3">
      <c r="A27" t="s">
        <v>309</v>
      </c>
      <c r="B27" t="s">
        <v>310</v>
      </c>
    </row>
    <row r="28" spans="1:2" x14ac:dyDescent="0.3">
      <c r="A28" t="s">
        <v>111</v>
      </c>
      <c r="B28" t="s">
        <v>123</v>
      </c>
    </row>
    <row r="29" spans="1:2" x14ac:dyDescent="0.3">
      <c r="A29" t="s">
        <v>254</v>
      </c>
      <c r="B29" t="s">
        <v>255</v>
      </c>
    </row>
    <row r="30" spans="1:2" x14ac:dyDescent="0.3">
      <c r="A30" t="s">
        <v>160</v>
      </c>
      <c r="B30" t="s">
        <v>163</v>
      </c>
    </row>
    <row r="31" spans="1:2" x14ac:dyDescent="0.3">
      <c r="A31" t="s">
        <v>243</v>
      </c>
      <c r="B31" t="s">
        <v>244</v>
      </c>
    </row>
    <row r="32" spans="1:2" x14ac:dyDescent="0.3">
      <c r="A32" t="s">
        <v>145</v>
      </c>
      <c r="B32" t="s">
        <v>153</v>
      </c>
    </row>
    <row r="33" spans="1:2" x14ac:dyDescent="0.3">
      <c r="A33" t="s">
        <v>132</v>
      </c>
      <c r="B33" t="s">
        <v>137</v>
      </c>
    </row>
    <row r="34" spans="1:2" x14ac:dyDescent="0.3">
      <c r="A34" t="s">
        <v>277</v>
      </c>
      <c r="B34" t="s">
        <v>278</v>
      </c>
    </row>
    <row r="35" spans="1:2" x14ac:dyDescent="0.3">
      <c r="A35" t="s">
        <v>197</v>
      </c>
      <c r="B35" t="s">
        <v>198</v>
      </c>
    </row>
    <row r="36" spans="1:2" x14ac:dyDescent="0.3">
      <c r="A36" t="s">
        <v>480</v>
      </c>
      <c r="B36" t="s">
        <v>481</v>
      </c>
    </row>
    <row r="37" spans="1:2" x14ac:dyDescent="0.3">
      <c r="A37" t="s">
        <v>412</v>
      </c>
      <c r="B37" t="s">
        <v>413</v>
      </c>
    </row>
    <row r="38" spans="1:2" x14ac:dyDescent="0.3">
      <c r="A38" t="s">
        <v>482</v>
      </c>
      <c r="B38" t="s">
        <v>483</v>
      </c>
    </row>
    <row r="39" spans="1:2" x14ac:dyDescent="0.3">
      <c r="A39" t="s">
        <v>269</v>
      </c>
      <c r="B39" t="s">
        <v>270</v>
      </c>
    </row>
    <row r="40" spans="1:2" x14ac:dyDescent="0.3">
      <c r="A40" t="s">
        <v>415</v>
      </c>
      <c r="B40" t="s">
        <v>414</v>
      </c>
    </row>
    <row r="41" spans="1:2" x14ac:dyDescent="0.3">
      <c r="A41" t="s">
        <v>88</v>
      </c>
      <c r="B41" t="s">
        <v>94</v>
      </c>
    </row>
    <row r="42" spans="1:2" x14ac:dyDescent="0.3">
      <c r="A42" t="s">
        <v>484</v>
      </c>
      <c r="B42" t="s">
        <v>485</v>
      </c>
    </row>
    <row r="43" spans="1:2" x14ac:dyDescent="0.3">
      <c r="A43" t="s">
        <v>221</v>
      </c>
      <c r="B43" t="s">
        <v>245</v>
      </c>
    </row>
    <row r="44" spans="1:2" x14ac:dyDescent="0.3">
      <c r="A44" t="s">
        <v>594</v>
      </c>
      <c r="B44" t="s">
        <v>595</v>
      </c>
    </row>
    <row r="45" spans="1:2" x14ac:dyDescent="0.3">
      <c r="A45" t="s">
        <v>486</v>
      </c>
      <c r="B45" t="s">
        <v>487</v>
      </c>
    </row>
    <row r="46" spans="1:2" x14ac:dyDescent="0.3">
      <c r="A46" t="s">
        <v>365</v>
      </c>
      <c r="B46" t="s">
        <v>366</v>
      </c>
    </row>
    <row r="47" spans="1:2" x14ac:dyDescent="0.3">
      <c r="A47" t="s">
        <v>488</v>
      </c>
      <c r="B47" t="s">
        <v>449</v>
      </c>
    </row>
    <row r="48" spans="1:2" x14ac:dyDescent="0.3">
      <c r="A48" t="s">
        <v>424</v>
      </c>
      <c r="B48" t="s">
        <v>425</v>
      </c>
    </row>
    <row r="49" spans="1:2" x14ac:dyDescent="0.3">
      <c r="A49" t="s">
        <v>311</v>
      </c>
      <c r="B49" t="s">
        <v>312</v>
      </c>
    </row>
    <row r="50" spans="1:2" x14ac:dyDescent="0.3">
      <c r="A50" t="s">
        <v>489</v>
      </c>
      <c r="B50" t="s">
        <v>490</v>
      </c>
    </row>
    <row r="51" spans="1:2" x14ac:dyDescent="0.3">
      <c r="A51" t="s">
        <v>131</v>
      </c>
      <c r="B51" t="s">
        <v>135</v>
      </c>
    </row>
    <row r="52" spans="1:2" x14ac:dyDescent="0.3">
      <c r="A52" t="s">
        <v>403</v>
      </c>
      <c r="B52" t="s">
        <v>404</v>
      </c>
    </row>
    <row r="53" spans="1:2" x14ac:dyDescent="0.3">
      <c r="A53" t="s">
        <v>491</v>
      </c>
      <c r="B53" t="s">
        <v>492</v>
      </c>
    </row>
    <row r="54" spans="1:2" x14ac:dyDescent="0.3">
      <c r="A54" t="s">
        <v>371</v>
      </c>
      <c r="B54" t="s">
        <v>372</v>
      </c>
    </row>
    <row r="55" spans="1:2" x14ac:dyDescent="0.3">
      <c r="A55" t="s">
        <v>493</v>
      </c>
      <c r="B55" t="s">
        <v>494</v>
      </c>
    </row>
    <row r="56" spans="1:2" x14ac:dyDescent="0.3">
      <c r="A56" t="s">
        <v>405</v>
      </c>
      <c r="B56" t="s">
        <v>406</v>
      </c>
    </row>
    <row r="57" spans="1:2" x14ac:dyDescent="0.3">
      <c r="A57" t="s">
        <v>679</v>
      </c>
      <c r="B57" t="s">
        <v>680</v>
      </c>
    </row>
    <row r="58" spans="1:2" x14ac:dyDescent="0.3">
      <c r="A58" t="s">
        <v>498</v>
      </c>
      <c r="B58" t="s">
        <v>499</v>
      </c>
    </row>
    <row r="59" spans="1:2" x14ac:dyDescent="0.3">
      <c r="A59" t="s">
        <v>500</v>
      </c>
      <c r="B59" t="s">
        <v>501</v>
      </c>
    </row>
    <row r="60" spans="1:2" x14ac:dyDescent="0.3">
      <c r="A60" t="s">
        <v>502</v>
      </c>
      <c r="B60" t="s">
        <v>503</v>
      </c>
    </row>
    <row r="61" spans="1:2" x14ac:dyDescent="0.3">
      <c r="A61" t="s">
        <v>212</v>
      </c>
      <c r="B61" t="s">
        <v>213</v>
      </c>
    </row>
    <row r="62" spans="1:2" x14ac:dyDescent="0.3">
      <c r="A62" t="s">
        <v>504</v>
      </c>
      <c r="B62" t="s">
        <v>505</v>
      </c>
    </row>
    <row r="63" spans="1:2" x14ac:dyDescent="0.3">
      <c r="A63" t="s">
        <v>329</v>
      </c>
      <c r="B63" t="s">
        <v>330</v>
      </c>
    </row>
    <row r="64" spans="1:2" x14ac:dyDescent="0.3">
      <c r="A64" t="s">
        <v>506</v>
      </c>
      <c r="B64" t="s">
        <v>507</v>
      </c>
    </row>
    <row r="65" spans="1:2" x14ac:dyDescent="0.3">
      <c r="A65" t="s">
        <v>129</v>
      </c>
      <c r="B65" t="s">
        <v>127</v>
      </c>
    </row>
    <row r="66" spans="1:2" x14ac:dyDescent="0.3">
      <c r="A66" t="s">
        <v>508</v>
      </c>
      <c r="B66" t="s">
        <v>509</v>
      </c>
    </row>
    <row r="67" spans="1:2" x14ac:dyDescent="0.3">
      <c r="A67" t="s">
        <v>510</v>
      </c>
      <c r="B67" t="s">
        <v>511</v>
      </c>
    </row>
    <row r="68" spans="1:2" x14ac:dyDescent="0.3">
      <c r="A68" t="s">
        <v>345</v>
      </c>
      <c r="B68" t="s">
        <v>346</v>
      </c>
    </row>
    <row r="69" spans="1:2" x14ac:dyDescent="0.3">
      <c r="A69" t="s">
        <v>159</v>
      </c>
      <c r="B69" t="s">
        <v>162</v>
      </c>
    </row>
    <row r="70" spans="1:2" x14ac:dyDescent="0.3">
      <c r="A70" t="s">
        <v>512</v>
      </c>
      <c r="B70" t="s">
        <v>513</v>
      </c>
    </row>
    <row r="71" spans="1:2" x14ac:dyDescent="0.3">
      <c r="A71" t="s">
        <v>180</v>
      </c>
      <c r="B71" t="s">
        <v>181</v>
      </c>
    </row>
    <row r="72" spans="1:2" x14ac:dyDescent="0.3">
      <c r="A72" t="s">
        <v>349</v>
      </c>
      <c r="B72" t="s">
        <v>350</v>
      </c>
    </row>
    <row r="73" spans="1:2" x14ac:dyDescent="0.3">
      <c r="A73" t="s">
        <v>134</v>
      </c>
      <c r="B73" t="s">
        <v>138</v>
      </c>
    </row>
    <row r="74" spans="1:2" x14ac:dyDescent="0.3">
      <c r="A74" t="s">
        <v>514</v>
      </c>
      <c r="B74" t="s">
        <v>515</v>
      </c>
    </row>
    <row r="75" spans="1:2" x14ac:dyDescent="0.3">
      <c r="A75" t="s">
        <v>516</v>
      </c>
      <c r="B75" t="s">
        <v>517</v>
      </c>
    </row>
    <row r="76" spans="1:2" x14ac:dyDescent="0.3">
      <c r="A76" t="s">
        <v>361</v>
      </c>
      <c r="B76" t="s">
        <v>362</v>
      </c>
    </row>
    <row r="77" spans="1:2" x14ac:dyDescent="0.3">
      <c r="A77" t="s">
        <v>518</v>
      </c>
      <c r="B77" t="s">
        <v>519</v>
      </c>
    </row>
    <row r="78" spans="1:2" x14ac:dyDescent="0.3">
      <c r="A78" t="s">
        <v>520</v>
      </c>
      <c r="B78" t="s">
        <v>521</v>
      </c>
    </row>
    <row r="79" spans="1:2" x14ac:dyDescent="0.3">
      <c r="A79" t="s">
        <v>168</v>
      </c>
      <c r="B79" t="s">
        <v>152</v>
      </c>
    </row>
    <row r="80" spans="1:2" x14ac:dyDescent="0.3">
      <c r="A80" t="s">
        <v>522</v>
      </c>
      <c r="B80" t="s">
        <v>523</v>
      </c>
    </row>
    <row r="81" spans="1:2" x14ac:dyDescent="0.3">
      <c r="A81" t="s">
        <v>140</v>
      </c>
      <c r="B81" t="s">
        <v>147</v>
      </c>
    </row>
    <row r="82" spans="1:2" x14ac:dyDescent="0.3">
      <c r="A82" t="s">
        <v>524</v>
      </c>
      <c r="B82" t="s">
        <v>525</v>
      </c>
    </row>
    <row r="83" spans="1:2" x14ac:dyDescent="0.3">
      <c r="A83" t="s">
        <v>170</v>
      </c>
      <c r="B83" t="s">
        <v>171</v>
      </c>
    </row>
    <row r="84" spans="1:2" x14ac:dyDescent="0.3">
      <c r="A84" t="s">
        <v>385</v>
      </c>
      <c r="B84" t="s">
        <v>386</v>
      </c>
    </row>
    <row r="85" spans="1:2" x14ac:dyDescent="0.3">
      <c r="A85" t="s">
        <v>669</v>
      </c>
      <c r="B85" t="s">
        <v>670</v>
      </c>
    </row>
    <row r="86" spans="1:2" x14ac:dyDescent="0.3">
      <c r="A86" t="s">
        <v>188</v>
      </c>
      <c r="B86" t="s">
        <v>189</v>
      </c>
    </row>
    <row r="87" spans="1:2" x14ac:dyDescent="0.3">
      <c r="A87" t="s">
        <v>526</v>
      </c>
      <c r="B87" t="s">
        <v>527</v>
      </c>
    </row>
    <row r="88" spans="1:2" x14ac:dyDescent="0.3">
      <c r="A88" t="s">
        <v>560</v>
      </c>
      <c r="B88" t="s">
        <v>561</v>
      </c>
    </row>
    <row r="89" spans="1:2" x14ac:dyDescent="0.3">
      <c r="A89" t="s">
        <v>675</v>
      </c>
      <c r="B89" t="s">
        <v>676</v>
      </c>
    </row>
    <row r="90" spans="1:2" x14ac:dyDescent="0.3">
      <c r="A90" t="s">
        <v>292</v>
      </c>
      <c r="B90" t="s">
        <v>293</v>
      </c>
    </row>
    <row r="91" spans="1:2" x14ac:dyDescent="0.3">
      <c r="A91" t="s">
        <v>142</v>
      </c>
      <c r="B91" t="s">
        <v>149</v>
      </c>
    </row>
    <row r="92" spans="1:2" x14ac:dyDescent="0.3">
      <c r="A92" t="s">
        <v>112</v>
      </c>
      <c r="B92" t="s">
        <v>124</v>
      </c>
    </row>
    <row r="93" spans="1:2" x14ac:dyDescent="0.3">
      <c r="A93" t="s">
        <v>528</v>
      </c>
      <c r="B93" t="s">
        <v>529</v>
      </c>
    </row>
    <row r="94" spans="1:2" x14ac:dyDescent="0.3">
      <c r="A94" t="s">
        <v>530</v>
      </c>
      <c r="B94" t="s">
        <v>531</v>
      </c>
    </row>
    <row r="95" spans="1:2" x14ac:dyDescent="0.3">
      <c r="A95" t="s">
        <v>605</v>
      </c>
      <c r="B95" t="s">
        <v>606</v>
      </c>
    </row>
    <row r="96" spans="1:2" x14ac:dyDescent="0.3">
      <c r="A96" t="s">
        <v>250</v>
      </c>
      <c r="B96" t="s">
        <v>251</v>
      </c>
    </row>
    <row r="97" spans="1:2" x14ac:dyDescent="0.3">
      <c r="A97" t="s">
        <v>217</v>
      </c>
      <c r="B97" t="s">
        <v>218</v>
      </c>
    </row>
    <row r="98" spans="1:2" x14ac:dyDescent="0.3">
      <c r="A98" t="s">
        <v>317</v>
      </c>
      <c r="B98" t="s">
        <v>318</v>
      </c>
    </row>
    <row r="99" spans="1:2" x14ac:dyDescent="0.3">
      <c r="A99" t="s">
        <v>532</v>
      </c>
      <c r="B99" t="s">
        <v>533</v>
      </c>
    </row>
    <row r="100" spans="1:2" x14ac:dyDescent="0.3">
      <c r="A100" t="s">
        <v>233</v>
      </c>
      <c r="B100" t="s">
        <v>234</v>
      </c>
    </row>
    <row r="101" spans="1:2" x14ac:dyDescent="0.3">
      <c r="A101" t="s">
        <v>440</v>
      </c>
      <c r="B101" t="s">
        <v>441</v>
      </c>
    </row>
    <row r="102" spans="1:2" x14ac:dyDescent="0.3">
      <c r="A102" t="s">
        <v>359</v>
      </c>
      <c r="B102" t="s">
        <v>360</v>
      </c>
    </row>
    <row r="103" spans="1:2" x14ac:dyDescent="0.3">
      <c r="A103" t="s">
        <v>166</v>
      </c>
      <c r="B103" t="s">
        <v>126</v>
      </c>
    </row>
    <row r="104" spans="1:2" x14ac:dyDescent="0.3">
      <c r="A104" t="s">
        <v>534</v>
      </c>
      <c r="B104" t="s">
        <v>535</v>
      </c>
    </row>
    <row r="105" spans="1:2" x14ac:dyDescent="0.3">
      <c r="A105" t="s">
        <v>337</v>
      </c>
      <c r="B105" t="s">
        <v>338</v>
      </c>
    </row>
    <row r="106" spans="1:2" x14ac:dyDescent="0.3">
      <c r="A106" t="s">
        <v>143</v>
      </c>
      <c r="B106" t="s">
        <v>150</v>
      </c>
    </row>
    <row r="107" spans="1:2" x14ac:dyDescent="0.3">
      <c r="A107" t="s">
        <v>581</v>
      </c>
      <c r="B107" t="s">
        <v>582</v>
      </c>
    </row>
    <row r="108" spans="1:2" x14ac:dyDescent="0.3">
      <c r="A108" t="s">
        <v>587</v>
      </c>
      <c r="B108" t="s">
        <v>588</v>
      </c>
    </row>
    <row r="109" spans="1:2" x14ac:dyDescent="0.3">
      <c r="A109" t="s">
        <v>619</v>
      </c>
      <c r="B109" t="s">
        <v>620</v>
      </c>
    </row>
    <row r="110" spans="1:2" x14ac:dyDescent="0.3">
      <c r="A110" t="s">
        <v>615</v>
      </c>
      <c r="B110" t="s">
        <v>616</v>
      </c>
    </row>
    <row r="111" spans="1:2" x14ac:dyDescent="0.3">
      <c r="A111" t="s">
        <v>263</v>
      </c>
      <c r="B111" t="s">
        <v>264</v>
      </c>
    </row>
    <row r="112" spans="1:2" x14ac:dyDescent="0.3">
      <c r="A112" t="s">
        <v>536</v>
      </c>
      <c r="B112" t="s">
        <v>537</v>
      </c>
    </row>
    <row r="113" spans="1:2" x14ac:dyDescent="0.3">
      <c r="A113" t="s">
        <v>538</v>
      </c>
      <c r="B113" t="s">
        <v>539</v>
      </c>
    </row>
    <row r="114" spans="1:2" x14ac:dyDescent="0.3">
      <c r="A114" t="s">
        <v>110</v>
      </c>
      <c r="B114" t="s">
        <v>122</v>
      </c>
    </row>
    <row r="115" spans="1:2" x14ac:dyDescent="0.3">
      <c r="A115" t="s">
        <v>106</v>
      </c>
      <c r="B115" t="s">
        <v>117</v>
      </c>
    </row>
    <row r="116" spans="1:2" x14ac:dyDescent="0.3">
      <c r="A116" t="s">
        <v>596</v>
      </c>
      <c r="B116" t="s">
        <v>576</v>
      </c>
    </row>
    <row r="117" spans="1:2" x14ac:dyDescent="0.3">
      <c r="A117" t="s">
        <v>597</v>
      </c>
      <c r="B117" t="s">
        <v>214</v>
      </c>
    </row>
    <row r="118" spans="1:2" x14ac:dyDescent="0.3">
      <c r="A118" t="s">
        <v>85</v>
      </c>
      <c r="B118" t="s">
        <v>91</v>
      </c>
    </row>
    <row r="119" spans="1:2" x14ac:dyDescent="0.3">
      <c r="A119" t="s">
        <v>448</v>
      </c>
      <c r="B119" t="s">
        <v>449</v>
      </c>
    </row>
    <row r="120" spans="1:2" x14ac:dyDescent="0.3">
      <c r="A120" t="s">
        <v>540</v>
      </c>
      <c r="B120" t="s">
        <v>541</v>
      </c>
    </row>
    <row r="121" spans="1:2" x14ac:dyDescent="0.3">
      <c r="A121" t="s">
        <v>685</v>
      </c>
      <c r="B121" t="s">
        <v>686</v>
      </c>
    </row>
    <row r="122" spans="1:2" x14ac:dyDescent="0.3">
      <c r="A122" t="s">
        <v>315</v>
      </c>
      <c r="B122" t="s">
        <v>316</v>
      </c>
    </row>
    <row r="123" spans="1:2" x14ac:dyDescent="0.3">
      <c r="A123" t="s">
        <v>542</v>
      </c>
      <c r="B123" t="s">
        <v>543</v>
      </c>
    </row>
    <row r="124" spans="1:2" x14ac:dyDescent="0.3">
      <c r="A124" t="s">
        <v>275</v>
      </c>
      <c r="B124" t="s">
        <v>276</v>
      </c>
    </row>
    <row r="125" spans="1:2" x14ac:dyDescent="0.3">
      <c r="A125" t="s">
        <v>544</v>
      </c>
      <c r="B125" t="s">
        <v>545</v>
      </c>
    </row>
    <row r="126" spans="1:2" x14ac:dyDescent="0.3">
      <c r="A126" t="s">
        <v>546</v>
      </c>
      <c r="B126" t="s">
        <v>547</v>
      </c>
    </row>
    <row r="127" spans="1:2" x14ac:dyDescent="0.3">
      <c r="A127" t="s">
        <v>410</v>
      </c>
      <c r="B127" t="s">
        <v>411</v>
      </c>
    </row>
    <row r="128" spans="1:2" x14ac:dyDescent="0.3">
      <c r="A128" t="s">
        <v>224</v>
      </c>
      <c r="B128" t="s">
        <v>225</v>
      </c>
    </row>
    <row r="129" spans="1:2" x14ac:dyDescent="0.3">
      <c r="A129" t="s">
        <v>438</v>
      </c>
      <c r="B129" t="s">
        <v>439</v>
      </c>
    </row>
    <row r="130" spans="1:2" x14ac:dyDescent="0.3">
      <c r="A130" t="s">
        <v>321</v>
      </c>
      <c r="B130" t="s">
        <v>322</v>
      </c>
    </row>
    <row r="131" spans="1:2" x14ac:dyDescent="0.3">
      <c r="A131" t="s">
        <v>548</v>
      </c>
      <c r="B131" t="s">
        <v>549</v>
      </c>
    </row>
    <row r="132" spans="1:2" x14ac:dyDescent="0.3">
      <c r="A132" t="s">
        <v>550</v>
      </c>
      <c r="B132" t="s">
        <v>551</v>
      </c>
    </row>
    <row r="133" spans="1:2" x14ac:dyDescent="0.3">
      <c r="A133" t="s">
        <v>687</v>
      </c>
      <c r="B133" t="s">
        <v>688</v>
      </c>
    </row>
    <row r="134" spans="1:2" x14ac:dyDescent="0.3">
      <c r="A134" t="s">
        <v>458</v>
      </c>
      <c r="B134" t="s">
        <v>459</v>
      </c>
    </row>
    <row r="135" spans="1:2" x14ac:dyDescent="0.3">
      <c r="A135" t="s">
        <v>389</v>
      </c>
      <c r="B135" t="s">
        <v>390</v>
      </c>
    </row>
    <row r="136" spans="1:2" x14ac:dyDescent="0.3">
      <c r="A136" t="s">
        <v>552</v>
      </c>
      <c r="B136" t="s">
        <v>553</v>
      </c>
    </row>
    <row r="137" spans="1:2" x14ac:dyDescent="0.3">
      <c r="A137" t="s">
        <v>554</v>
      </c>
      <c r="B137" t="s">
        <v>555</v>
      </c>
    </row>
    <row r="138" spans="1:2" x14ac:dyDescent="0.3">
      <c r="A138" t="s">
        <v>313</v>
      </c>
      <c r="B138" t="s">
        <v>314</v>
      </c>
    </row>
    <row r="139" spans="1:2" x14ac:dyDescent="0.3">
      <c r="A139" t="s">
        <v>256</v>
      </c>
      <c r="B139" t="s">
        <v>260</v>
      </c>
    </row>
    <row r="140" spans="1:2" x14ac:dyDescent="0.3">
      <c r="A140" t="s">
        <v>592</v>
      </c>
      <c r="B140" t="s">
        <v>593</v>
      </c>
    </row>
    <row r="141" spans="1:2" x14ac:dyDescent="0.3">
      <c r="A141" t="s">
        <v>393</v>
      </c>
      <c r="B141" t="s">
        <v>394</v>
      </c>
    </row>
    <row r="142" spans="1:2" x14ac:dyDescent="0.3">
      <c r="A142" t="s">
        <v>450</v>
      </c>
      <c r="B142" t="s">
        <v>451</v>
      </c>
    </row>
    <row r="143" spans="1:2" x14ac:dyDescent="0.3">
      <c r="A143" t="s">
        <v>397</v>
      </c>
      <c r="B143" t="s">
        <v>398</v>
      </c>
    </row>
    <row r="144" spans="1:2" x14ac:dyDescent="0.3">
      <c r="A144" t="s">
        <v>556</v>
      </c>
      <c r="B144" t="s">
        <v>557</v>
      </c>
    </row>
    <row r="145" spans="1:2" x14ac:dyDescent="0.3">
      <c r="A145" t="s">
        <v>558</v>
      </c>
      <c r="B145" t="s">
        <v>559</v>
      </c>
    </row>
    <row r="146" spans="1:2" x14ac:dyDescent="0.3">
      <c r="A146" t="s">
        <v>623</v>
      </c>
      <c r="B146" t="s">
        <v>624</v>
      </c>
    </row>
    <row r="147" spans="1:2" x14ac:dyDescent="0.3">
      <c r="A147" t="s">
        <v>158</v>
      </c>
      <c r="B147" t="s">
        <v>161</v>
      </c>
    </row>
    <row r="148" spans="1:2" x14ac:dyDescent="0.3">
      <c r="A148" t="s">
        <v>625</v>
      </c>
      <c r="B148" t="s">
        <v>626</v>
      </c>
    </row>
    <row r="149" spans="1:2" x14ac:dyDescent="0.3">
      <c r="A149" t="s">
        <v>184</v>
      </c>
      <c r="B149" t="s">
        <v>185</v>
      </c>
    </row>
    <row r="150" spans="1:2" x14ac:dyDescent="0.3">
      <c r="A150" t="s">
        <v>627</v>
      </c>
      <c r="B150" t="s">
        <v>628</v>
      </c>
    </row>
    <row r="151" spans="1:2" x14ac:dyDescent="0.3">
      <c r="A151" t="s">
        <v>363</v>
      </c>
      <c r="B151" t="s">
        <v>364</v>
      </c>
    </row>
    <row r="152" spans="1:2" x14ac:dyDescent="0.3">
      <c r="A152" t="s">
        <v>235</v>
      </c>
      <c r="B152" t="s">
        <v>236</v>
      </c>
    </row>
    <row r="153" spans="1:2" x14ac:dyDescent="0.3">
      <c r="A153" t="s">
        <v>629</v>
      </c>
      <c r="B153" t="s">
        <v>630</v>
      </c>
    </row>
    <row r="154" spans="1:2" x14ac:dyDescent="0.3">
      <c r="A154" t="s">
        <v>671</v>
      </c>
      <c r="B154" t="s">
        <v>672</v>
      </c>
    </row>
    <row r="155" spans="1:2" x14ac:dyDescent="0.3">
      <c r="A155" t="s">
        <v>284</v>
      </c>
      <c r="B155" t="s">
        <v>285</v>
      </c>
    </row>
    <row r="156" spans="1:2" x14ac:dyDescent="0.3">
      <c r="A156" t="s">
        <v>290</v>
      </c>
      <c r="B156" t="s">
        <v>291</v>
      </c>
    </row>
    <row r="157" spans="1:2" x14ac:dyDescent="0.3">
      <c r="A157" t="s">
        <v>566</v>
      </c>
      <c r="B157" t="s">
        <v>567</v>
      </c>
    </row>
    <row r="158" spans="1:2" x14ac:dyDescent="0.3">
      <c r="A158" t="s">
        <v>572</v>
      </c>
      <c r="B158" t="s">
        <v>573</v>
      </c>
    </row>
    <row r="159" spans="1:2" x14ac:dyDescent="0.3">
      <c r="A159" t="s">
        <v>434</v>
      </c>
      <c r="B159" t="s">
        <v>435</v>
      </c>
    </row>
    <row r="160" spans="1:2" x14ac:dyDescent="0.3">
      <c r="A160" t="s">
        <v>104</v>
      </c>
      <c r="B160" t="s">
        <v>116</v>
      </c>
    </row>
    <row r="161" spans="1:2" x14ac:dyDescent="0.3">
      <c r="A161" t="s">
        <v>204</v>
      </c>
      <c r="B161" t="s">
        <v>205</v>
      </c>
    </row>
    <row r="162" spans="1:2" x14ac:dyDescent="0.3">
      <c r="A162" t="s">
        <v>227</v>
      </c>
      <c r="B162" t="s">
        <v>228</v>
      </c>
    </row>
    <row r="163" spans="1:2" x14ac:dyDescent="0.3">
      <c r="A163" t="s">
        <v>609</v>
      </c>
      <c r="B163" t="s">
        <v>610</v>
      </c>
    </row>
    <row r="164" spans="1:2" x14ac:dyDescent="0.3">
      <c r="A164" t="s">
        <v>574</v>
      </c>
      <c r="B164" t="s">
        <v>575</v>
      </c>
    </row>
    <row r="165" spans="1:2" x14ac:dyDescent="0.3">
      <c r="A165" t="s">
        <v>165</v>
      </c>
      <c r="B165" t="s">
        <v>120</v>
      </c>
    </row>
    <row r="166" spans="1:2" x14ac:dyDescent="0.3">
      <c r="A166" t="s">
        <v>347</v>
      </c>
      <c r="B166" t="s">
        <v>348</v>
      </c>
    </row>
    <row r="167" spans="1:2" x14ac:dyDescent="0.3">
      <c r="A167" t="s">
        <v>323</v>
      </c>
      <c r="B167" t="s">
        <v>324</v>
      </c>
    </row>
    <row r="168" spans="1:2" x14ac:dyDescent="0.3">
      <c r="A168" t="s">
        <v>631</v>
      </c>
      <c r="B168" t="s">
        <v>632</v>
      </c>
    </row>
    <row r="169" spans="1:2" x14ac:dyDescent="0.3">
      <c r="A169" t="s">
        <v>585</v>
      </c>
      <c r="B169" t="s">
        <v>586</v>
      </c>
    </row>
    <row r="170" spans="1:2" x14ac:dyDescent="0.3">
      <c r="A170" t="s">
        <v>133</v>
      </c>
      <c r="B170" t="s">
        <v>139</v>
      </c>
    </row>
    <row r="171" spans="1:2" x14ac:dyDescent="0.3">
      <c r="A171" t="s">
        <v>611</v>
      </c>
      <c r="B171" t="s">
        <v>612</v>
      </c>
    </row>
    <row r="172" spans="1:2" x14ac:dyDescent="0.3">
      <c r="A172" t="s">
        <v>633</v>
      </c>
      <c r="B172" t="s">
        <v>634</v>
      </c>
    </row>
    <row r="173" spans="1:2" x14ac:dyDescent="0.3">
      <c r="A173" t="s">
        <v>635</v>
      </c>
      <c r="B173" t="s">
        <v>636</v>
      </c>
    </row>
    <row r="174" spans="1:2" x14ac:dyDescent="0.3">
      <c r="A174" t="s">
        <v>103</v>
      </c>
      <c r="B174" t="s">
        <v>115</v>
      </c>
    </row>
    <row r="175" spans="1:2" x14ac:dyDescent="0.3">
      <c r="A175" t="s">
        <v>637</v>
      </c>
      <c r="B175" t="s">
        <v>638</v>
      </c>
    </row>
    <row r="176" spans="1:2" x14ac:dyDescent="0.3">
      <c r="A176" t="s">
        <v>639</v>
      </c>
      <c r="B176" t="s">
        <v>640</v>
      </c>
    </row>
    <row r="177" spans="1:2" x14ac:dyDescent="0.3">
      <c r="A177" t="s">
        <v>641</v>
      </c>
      <c r="B177" t="s">
        <v>642</v>
      </c>
    </row>
    <row r="178" spans="1:2" x14ac:dyDescent="0.3">
      <c r="A178" t="s">
        <v>643</v>
      </c>
      <c r="B178" t="s">
        <v>644</v>
      </c>
    </row>
    <row r="179" spans="1:2" x14ac:dyDescent="0.3">
      <c r="A179" t="s">
        <v>564</v>
      </c>
      <c r="B179" t="s">
        <v>565</v>
      </c>
    </row>
    <row r="180" spans="1:2" x14ac:dyDescent="0.3">
      <c r="A180" t="s">
        <v>339</v>
      </c>
      <c r="B180" t="s">
        <v>340</v>
      </c>
    </row>
    <row r="181" spans="1:2" x14ac:dyDescent="0.3">
      <c r="A181" t="s">
        <v>645</v>
      </c>
      <c r="B181" t="s">
        <v>646</v>
      </c>
    </row>
    <row r="182" spans="1:2" x14ac:dyDescent="0.3">
      <c r="A182" t="s">
        <v>677</v>
      </c>
      <c r="B182" t="s">
        <v>678</v>
      </c>
    </row>
    <row r="183" spans="1:2" x14ac:dyDescent="0.3">
      <c r="A183" t="s">
        <v>229</v>
      </c>
      <c r="B183" t="s">
        <v>230</v>
      </c>
    </row>
    <row r="184" spans="1:2" x14ac:dyDescent="0.3">
      <c r="A184" t="s">
        <v>281</v>
      </c>
      <c r="B184" t="s">
        <v>282</v>
      </c>
    </row>
    <row r="185" spans="1:2" x14ac:dyDescent="0.3">
      <c r="A185" t="s">
        <v>377</v>
      </c>
      <c r="B185" t="s">
        <v>378</v>
      </c>
    </row>
    <row r="186" spans="1:2" x14ac:dyDescent="0.3">
      <c r="A186" t="s">
        <v>649</v>
      </c>
      <c r="B186" t="s">
        <v>650</v>
      </c>
    </row>
    <row r="187" spans="1:2" x14ac:dyDescent="0.3">
      <c r="A187" t="s">
        <v>113</v>
      </c>
      <c r="B187" t="s">
        <v>125</v>
      </c>
    </row>
    <row r="188" spans="1:2" x14ac:dyDescent="0.3">
      <c r="A188" t="s">
        <v>651</v>
      </c>
      <c r="B188" t="s">
        <v>652</v>
      </c>
    </row>
    <row r="189" spans="1:2" x14ac:dyDescent="0.3">
      <c r="A189" t="s">
        <v>655</v>
      </c>
      <c r="B189" t="s">
        <v>656</v>
      </c>
    </row>
    <row r="190" spans="1:2" x14ac:dyDescent="0.3">
      <c r="A190" t="s">
        <v>653</v>
      </c>
      <c r="B190" t="s">
        <v>654</v>
      </c>
    </row>
    <row r="191" spans="1:2" x14ac:dyDescent="0.3">
      <c r="A191" t="s">
        <v>86</v>
      </c>
      <c r="B191" t="s">
        <v>92</v>
      </c>
    </row>
    <row r="192" spans="1:2" x14ac:dyDescent="0.3">
      <c r="A192" t="s">
        <v>210</v>
      </c>
      <c r="B192" t="s">
        <v>211</v>
      </c>
    </row>
    <row r="193" spans="1:2" x14ac:dyDescent="0.3">
      <c r="A193" t="s">
        <v>657</v>
      </c>
      <c r="B193" t="s">
        <v>658</v>
      </c>
    </row>
    <row r="194" spans="1:2" x14ac:dyDescent="0.3">
      <c r="A194" t="s">
        <v>351</v>
      </c>
      <c r="B194" t="s">
        <v>352</v>
      </c>
    </row>
    <row r="195" spans="1:2" x14ac:dyDescent="0.3">
      <c r="A195" t="s">
        <v>659</v>
      </c>
      <c r="B195" t="s">
        <v>660</v>
      </c>
    </row>
    <row r="196" spans="1:2" x14ac:dyDescent="0.3">
      <c r="A196" t="s">
        <v>452</v>
      </c>
      <c r="B196" t="s">
        <v>453</v>
      </c>
    </row>
    <row r="197" spans="1:2" x14ac:dyDescent="0.3">
      <c r="A197" t="s">
        <v>84</v>
      </c>
      <c r="B197" t="s">
        <v>89</v>
      </c>
    </row>
    <row r="198" spans="1:2" x14ac:dyDescent="0.3">
      <c r="A198" t="s">
        <v>354</v>
      </c>
      <c r="B198" t="s">
        <v>353</v>
      </c>
    </row>
    <row r="199" spans="1:2" x14ac:dyDescent="0.3">
      <c r="A199" t="s">
        <v>355</v>
      </c>
      <c r="B199" t="s">
        <v>356</v>
      </c>
    </row>
    <row r="200" spans="1:2" x14ac:dyDescent="0.3">
      <c r="A200" t="s">
        <v>144</v>
      </c>
      <c r="B200" t="s">
        <v>151</v>
      </c>
    </row>
    <row r="201" spans="1:2" x14ac:dyDescent="0.3">
      <c r="A201" t="s">
        <v>661</v>
      </c>
      <c r="B201" t="s">
        <v>662</v>
      </c>
    </row>
    <row r="202" spans="1:2" x14ac:dyDescent="0.3">
      <c r="A202" t="s">
        <v>663</v>
      </c>
      <c r="B202" t="s">
        <v>664</v>
      </c>
    </row>
    <row r="203" spans="1:2" x14ac:dyDescent="0.3">
      <c r="A203" t="s">
        <v>273</v>
      </c>
      <c r="B203" t="s">
        <v>274</v>
      </c>
    </row>
    <row r="204" spans="1:2" x14ac:dyDescent="0.3">
      <c r="A204" t="s">
        <v>607</v>
      </c>
      <c r="B204" t="s">
        <v>608</v>
      </c>
    </row>
    <row r="205" spans="1:2" x14ac:dyDescent="0.3">
      <c r="A205" t="s">
        <v>665</v>
      </c>
      <c r="B205" t="s">
        <v>666</v>
      </c>
    </row>
    <row r="206" spans="1:2" x14ac:dyDescent="0.3">
      <c r="A206" t="s">
        <v>667</v>
      </c>
      <c r="B206" t="s">
        <v>668</v>
      </c>
    </row>
    <row r="207" spans="1:2" x14ac:dyDescent="0.3">
      <c r="A207" t="s">
        <v>286</v>
      </c>
      <c r="B207" t="s">
        <v>287</v>
      </c>
    </row>
    <row r="208" spans="1:2" x14ac:dyDescent="0.3">
      <c r="A208" t="s">
        <v>407</v>
      </c>
      <c r="B208" t="s">
        <v>408</v>
      </c>
    </row>
    <row r="209" spans="1:2" x14ac:dyDescent="0.3">
      <c r="A209" t="s">
        <v>178</v>
      </c>
      <c r="B209" t="s">
        <v>179</v>
      </c>
    </row>
    <row r="210" spans="1:2" x14ac:dyDescent="0.3">
      <c r="A210" t="s">
        <v>297</v>
      </c>
      <c r="B210" t="s">
        <v>298</v>
      </c>
    </row>
    <row r="211" spans="1:2" x14ac:dyDescent="0.3">
      <c r="A211" t="s">
        <v>237</v>
      </c>
      <c r="B211" t="s">
        <v>238</v>
      </c>
    </row>
    <row r="212" spans="1:2" x14ac:dyDescent="0.3">
      <c r="A212" t="s">
        <v>341</v>
      </c>
      <c r="B212" t="s">
        <v>342</v>
      </c>
    </row>
    <row r="213" spans="1:2" x14ac:dyDescent="0.3">
      <c r="A213" t="s">
        <v>141</v>
      </c>
      <c r="B213" t="s">
        <v>148</v>
      </c>
    </row>
    <row r="214" spans="1:2" x14ac:dyDescent="0.3">
      <c r="A214" t="s">
        <v>192</v>
      </c>
      <c r="B214" t="s">
        <v>193</v>
      </c>
    </row>
    <row r="215" spans="1:2" x14ac:dyDescent="0.3">
      <c r="A215" t="s">
        <v>252</v>
      </c>
      <c r="B215" t="s">
        <v>253</v>
      </c>
    </row>
    <row r="216" spans="1:2" x14ac:dyDescent="0.3">
      <c r="A216" t="s">
        <v>279</v>
      </c>
      <c r="B216" t="s">
        <v>280</v>
      </c>
    </row>
    <row r="217" spans="1:2" x14ac:dyDescent="0.3">
      <c r="A217" t="s">
        <v>618</v>
      </c>
      <c r="B217" t="s">
        <v>617</v>
      </c>
    </row>
    <row r="218" spans="1:2" x14ac:dyDescent="0.3">
      <c r="A218" t="s">
        <v>589</v>
      </c>
      <c r="B218" t="s">
        <v>590</v>
      </c>
    </row>
    <row r="219" spans="1:2" x14ac:dyDescent="0.3">
      <c r="A219" t="s">
        <v>387</v>
      </c>
      <c r="B219" t="s">
        <v>388</v>
      </c>
    </row>
    <row r="220" spans="1:2" x14ac:dyDescent="0.3">
      <c r="A220" t="s">
        <v>195</v>
      </c>
      <c r="B220" t="s">
        <v>196</v>
      </c>
    </row>
    <row r="221" spans="1:2" x14ac:dyDescent="0.3">
      <c r="A221" t="s">
        <v>175</v>
      </c>
      <c r="B221" t="s">
        <v>176</v>
      </c>
    </row>
    <row r="222" spans="1:2" x14ac:dyDescent="0.3">
      <c r="A222" t="s">
        <v>683</v>
      </c>
      <c r="B222" t="s">
        <v>684</v>
      </c>
    </row>
    <row r="223" spans="1:2" x14ac:dyDescent="0.3">
      <c r="A223" t="s">
        <v>331</v>
      </c>
      <c r="B223" t="s">
        <v>332</v>
      </c>
    </row>
    <row r="224" spans="1:2" x14ac:dyDescent="0.3">
      <c r="A224" t="s">
        <v>241</v>
      </c>
      <c r="B224" t="s">
        <v>242</v>
      </c>
    </row>
    <row r="225" spans="1:2" x14ac:dyDescent="0.3">
      <c r="A225" t="s">
        <v>420</v>
      </c>
      <c r="B225" t="s">
        <v>421</v>
      </c>
    </row>
    <row r="226" spans="1:2" x14ac:dyDescent="0.3">
      <c r="A226" t="s">
        <v>579</v>
      </c>
      <c r="B226" t="s">
        <v>580</v>
      </c>
    </row>
    <row r="227" spans="1:2" x14ac:dyDescent="0.3">
      <c r="A227" t="s">
        <v>432</v>
      </c>
      <c r="B227" t="s">
        <v>433</v>
      </c>
    </row>
    <row r="228" spans="1:2" x14ac:dyDescent="0.3">
      <c r="A228" t="s">
        <v>167</v>
      </c>
      <c r="B228" t="s">
        <v>136</v>
      </c>
    </row>
    <row r="229" spans="1:2" x14ac:dyDescent="0.3">
      <c r="A229" t="s">
        <v>444</v>
      </c>
      <c r="B229" t="s">
        <v>445</v>
      </c>
    </row>
    <row r="230" spans="1:2" x14ac:dyDescent="0.3">
      <c r="A230" t="s">
        <v>99</v>
      </c>
      <c r="B230" t="s">
        <v>100</v>
      </c>
    </row>
    <row r="231" spans="1:2" x14ac:dyDescent="0.3">
      <c r="A231" t="s">
        <v>422</v>
      </c>
      <c r="B231" t="s">
        <v>423</v>
      </c>
    </row>
    <row r="232" spans="1:2" x14ac:dyDescent="0.3">
      <c r="A232" t="s">
        <v>395</v>
      </c>
      <c r="B232" t="s">
        <v>396</v>
      </c>
    </row>
    <row r="233" spans="1:2" x14ac:dyDescent="0.3">
      <c r="A233" t="s">
        <v>381</v>
      </c>
      <c r="B233" t="s">
        <v>382</v>
      </c>
    </row>
    <row r="234" spans="1:2" x14ac:dyDescent="0.3">
      <c r="A234" t="s">
        <v>219</v>
      </c>
      <c r="B234" t="s">
        <v>220</v>
      </c>
    </row>
    <row r="235" spans="1:2" x14ac:dyDescent="0.3">
      <c r="A235" t="s">
        <v>428</v>
      </c>
      <c r="B235" t="s">
        <v>429</v>
      </c>
    </row>
    <row r="236" spans="1:2" x14ac:dyDescent="0.3">
      <c r="A236" t="s">
        <v>201</v>
      </c>
      <c r="B236" t="s">
        <v>202</v>
      </c>
    </row>
    <row r="237" spans="1:2" x14ac:dyDescent="0.3">
      <c r="A237" t="s">
        <v>203</v>
      </c>
      <c r="B237" t="s">
        <v>226</v>
      </c>
    </row>
    <row r="238" spans="1:2" x14ac:dyDescent="0.3">
      <c r="A238" t="s">
        <v>296</v>
      </c>
      <c r="B238" t="s">
        <v>283</v>
      </c>
    </row>
    <row r="239" spans="1:2" x14ac:dyDescent="0.3">
      <c r="A239" t="s">
        <v>383</v>
      </c>
      <c r="B239" t="s">
        <v>384</v>
      </c>
    </row>
    <row r="240" spans="1:2" x14ac:dyDescent="0.3">
      <c r="A240" t="s">
        <v>357</v>
      </c>
      <c r="B240" t="s">
        <v>358</v>
      </c>
    </row>
    <row r="241" spans="1:2" x14ac:dyDescent="0.3">
      <c r="A241" t="s">
        <v>373</v>
      </c>
      <c r="B241" t="s">
        <v>374</v>
      </c>
    </row>
    <row r="242" spans="1:2" x14ac:dyDescent="0.3">
      <c r="A242" t="s">
        <v>172</v>
      </c>
      <c r="B242" t="s">
        <v>186</v>
      </c>
    </row>
    <row r="243" spans="1:2" x14ac:dyDescent="0.3">
      <c r="A243" t="s">
        <v>258</v>
      </c>
      <c r="B243" t="s">
        <v>259</v>
      </c>
    </row>
    <row r="244" spans="1:2" x14ac:dyDescent="0.3">
      <c r="A244" t="s">
        <v>294</v>
      </c>
      <c r="B244" t="s">
        <v>257</v>
      </c>
    </row>
    <row r="245" spans="1:2" x14ac:dyDescent="0.3">
      <c r="A245" t="s">
        <v>613</v>
      </c>
      <c r="B245" t="s">
        <v>614</v>
      </c>
    </row>
    <row r="246" spans="1:2" x14ac:dyDescent="0.3">
      <c r="A246" t="s">
        <v>307</v>
      </c>
      <c r="B246" t="s">
        <v>308</v>
      </c>
    </row>
    <row r="247" spans="1:2" x14ac:dyDescent="0.3">
      <c r="A247" t="s">
        <v>87</v>
      </c>
      <c r="B247" t="s">
        <v>93</v>
      </c>
    </row>
    <row r="248" spans="1:2" x14ac:dyDescent="0.3">
      <c r="A248" t="s">
        <v>621</v>
      </c>
      <c r="B248" t="s">
        <v>622</v>
      </c>
    </row>
    <row r="249" spans="1:2" x14ac:dyDescent="0.3">
      <c r="A249" t="s">
        <v>271</v>
      </c>
      <c r="B249" t="s">
        <v>272</v>
      </c>
    </row>
    <row r="250" spans="1:2" x14ac:dyDescent="0.3">
      <c r="A250" t="s">
        <v>107</v>
      </c>
      <c r="B250" t="s">
        <v>118</v>
      </c>
    </row>
    <row r="251" spans="1:2" x14ac:dyDescent="0.3">
      <c r="A251" t="s">
        <v>447</v>
      </c>
      <c r="B251" t="s">
        <v>446</v>
      </c>
    </row>
    <row r="252" spans="1:2" x14ac:dyDescent="0.3">
      <c r="A252" t="s">
        <v>430</v>
      </c>
      <c r="B252" t="s">
        <v>431</v>
      </c>
    </row>
    <row r="253" spans="1:2" x14ac:dyDescent="0.3">
      <c r="A253" t="s">
        <v>418</v>
      </c>
      <c r="B253" t="s">
        <v>419</v>
      </c>
    </row>
    <row r="254" spans="1:2" x14ac:dyDescent="0.3">
      <c r="A254" t="s">
        <v>305</v>
      </c>
      <c r="B254" t="s">
        <v>306</v>
      </c>
    </row>
    <row r="255" spans="1:2" x14ac:dyDescent="0.3">
      <c r="A255" t="s">
        <v>436</v>
      </c>
      <c r="B255" t="s">
        <v>437</v>
      </c>
    </row>
    <row r="256" spans="1:2" x14ac:dyDescent="0.3">
      <c r="A256" t="s">
        <v>681</v>
      </c>
      <c r="B256" t="s">
        <v>682</v>
      </c>
    </row>
    <row r="257" spans="1:2" x14ac:dyDescent="0.3">
      <c r="A257" t="s">
        <v>288</v>
      </c>
      <c r="B257" t="s">
        <v>289</v>
      </c>
    </row>
    <row r="258" spans="1:2" x14ac:dyDescent="0.3">
      <c r="A258" t="s">
        <v>95</v>
      </c>
      <c r="B258" t="s">
        <v>96</v>
      </c>
    </row>
    <row r="259" spans="1:2" x14ac:dyDescent="0.3">
      <c r="A259" t="s">
        <v>130</v>
      </c>
      <c r="B259" t="s">
        <v>128</v>
      </c>
    </row>
    <row r="260" spans="1:2" x14ac:dyDescent="0.3">
      <c r="A260" t="s">
        <v>102</v>
      </c>
      <c r="B260" t="s">
        <v>114</v>
      </c>
    </row>
    <row r="261" spans="1:2" x14ac:dyDescent="0.3">
      <c r="A261" t="s">
        <v>108</v>
      </c>
      <c r="B261" t="s">
        <v>119</v>
      </c>
    </row>
    <row r="262" spans="1:2" x14ac:dyDescent="0.3">
      <c r="A262" t="s">
        <v>246</v>
      </c>
      <c r="B262" t="s">
        <v>247</v>
      </c>
    </row>
    <row r="263" spans="1:2" x14ac:dyDescent="0.3">
      <c r="A263" t="s">
        <v>601</v>
      </c>
      <c r="B263" t="s">
        <v>602</v>
      </c>
    </row>
    <row r="264" spans="1:2" x14ac:dyDescent="0.3">
      <c r="A264" t="s">
        <v>474</v>
      </c>
      <c r="B264" t="s">
        <v>475</v>
      </c>
    </row>
    <row r="265" spans="1:2" x14ac:dyDescent="0.3">
      <c r="A265" t="s">
        <v>303</v>
      </c>
      <c r="B265" t="s">
        <v>304</v>
      </c>
    </row>
    <row r="266" spans="1:2" x14ac:dyDescent="0.3">
      <c r="A266" t="s">
        <v>222</v>
      </c>
      <c r="B266" t="s">
        <v>223</v>
      </c>
    </row>
    <row r="267" spans="1:2" x14ac:dyDescent="0.3">
      <c r="A267" t="s">
        <v>169</v>
      </c>
      <c r="B267" t="s">
        <v>154</v>
      </c>
    </row>
    <row r="268" spans="1:2" x14ac:dyDescent="0.3">
      <c r="A268" t="s">
        <v>301</v>
      </c>
      <c r="B268" t="s">
        <v>302</v>
      </c>
    </row>
    <row r="269" spans="1:2" x14ac:dyDescent="0.3">
      <c r="A269" t="s">
        <v>182</v>
      </c>
      <c r="B269" t="s">
        <v>183</v>
      </c>
    </row>
    <row r="270" spans="1:2" x14ac:dyDescent="0.3">
      <c r="A270" t="s">
        <v>577</v>
      </c>
      <c r="B270" t="s">
        <v>578</v>
      </c>
    </row>
    <row r="271" spans="1:2" x14ac:dyDescent="0.3">
      <c r="A271" t="s">
        <v>327</v>
      </c>
      <c r="B271" t="s">
        <v>328</v>
      </c>
    </row>
    <row r="272" spans="1:2" x14ac:dyDescent="0.3">
      <c r="A272" t="s">
        <v>375</v>
      </c>
      <c r="B272" t="s">
        <v>376</v>
      </c>
    </row>
    <row r="273" spans="1:2" x14ac:dyDescent="0.3">
      <c r="A273" t="s">
        <v>379</v>
      </c>
      <c r="B273" t="s">
        <v>380</v>
      </c>
    </row>
    <row r="274" spans="1:2" x14ac:dyDescent="0.3">
      <c r="A274" t="s">
        <v>333</v>
      </c>
      <c r="B274" t="s">
        <v>334</v>
      </c>
    </row>
    <row r="275" spans="1:2" x14ac:dyDescent="0.3">
      <c r="A275" t="s">
        <v>97</v>
      </c>
      <c r="B275" t="s">
        <v>98</v>
      </c>
    </row>
    <row r="276" spans="1:2" x14ac:dyDescent="0.3">
      <c r="A276" t="s">
        <v>416</v>
      </c>
      <c r="B276" t="s">
        <v>417</v>
      </c>
    </row>
    <row r="277" spans="1:2" x14ac:dyDescent="0.3">
      <c r="A277" t="s">
        <v>231</v>
      </c>
      <c r="B277" t="s">
        <v>232</v>
      </c>
    </row>
    <row r="278" spans="1:2" x14ac:dyDescent="0.3">
      <c r="A278" t="s">
        <v>598</v>
      </c>
      <c r="B278" t="s">
        <v>591</v>
      </c>
    </row>
    <row r="279" spans="1:2" x14ac:dyDescent="0.3">
      <c r="A279" t="s">
        <v>495</v>
      </c>
      <c r="B279" t="s">
        <v>496</v>
      </c>
    </row>
    <row r="280" spans="1:2" x14ac:dyDescent="0.3">
      <c r="A280" t="s">
        <v>248</v>
      </c>
      <c r="B280" t="s">
        <v>249</v>
      </c>
    </row>
    <row r="281" spans="1:2" x14ac:dyDescent="0.3">
      <c r="A281" t="s">
        <v>215</v>
      </c>
      <c r="B281" t="s">
        <v>216</v>
      </c>
    </row>
    <row r="282" spans="1:2" x14ac:dyDescent="0.3">
      <c r="A282" t="s">
        <v>267</v>
      </c>
      <c r="B282" t="s">
        <v>268</v>
      </c>
    </row>
    <row r="283" spans="1:2" x14ac:dyDescent="0.3">
      <c r="A283" t="s">
        <v>399</v>
      </c>
      <c r="B283" t="s">
        <v>400</v>
      </c>
    </row>
    <row r="284" spans="1:2" x14ac:dyDescent="0.3">
      <c r="A284" t="s">
        <v>647</v>
      </c>
      <c r="B284" t="s">
        <v>648</v>
      </c>
    </row>
    <row r="285" spans="1:2" x14ac:dyDescent="0.3">
      <c r="A285" t="s">
        <v>603</v>
      </c>
      <c r="B285" t="s">
        <v>604</v>
      </c>
    </row>
    <row r="286" spans="1:2" x14ac:dyDescent="0.3">
      <c r="A286" t="s">
        <v>562</v>
      </c>
      <c r="B286" t="s">
        <v>563</v>
      </c>
    </row>
    <row r="287" spans="1:2" x14ac:dyDescent="0.3">
      <c r="A287" t="s">
        <v>146</v>
      </c>
      <c r="B287" t="s">
        <v>155</v>
      </c>
    </row>
    <row r="288" spans="1:2" x14ac:dyDescent="0.3">
      <c r="A288" t="s">
        <v>190</v>
      </c>
      <c r="B288" t="s">
        <v>191</v>
      </c>
    </row>
    <row r="289" spans="1:2" x14ac:dyDescent="0.3">
      <c r="A289" t="s">
        <v>239</v>
      </c>
      <c r="B289" t="s">
        <v>240</v>
      </c>
    </row>
    <row r="290" spans="1:2" x14ac:dyDescent="0.3">
      <c r="A290" t="s">
        <v>335</v>
      </c>
      <c r="B290" t="s">
        <v>336</v>
      </c>
    </row>
    <row r="291" spans="1:2" x14ac:dyDescent="0.3">
      <c r="A291" t="s">
        <v>265</v>
      </c>
      <c r="B291" t="s">
        <v>266</v>
      </c>
    </row>
    <row r="292" spans="1:2" x14ac:dyDescent="0.3">
      <c r="A292" t="s">
        <v>199</v>
      </c>
      <c r="B292" t="s">
        <v>200</v>
      </c>
    </row>
    <row r="293" spans="1:2" x14ac:dyDescent="0.3">
      <c r="A293" t="s">
        <v>319</v>
      </c>
      <c r="B293" t="s">
        <v>320</v>
      </c>
    </row>
    <row r="294" spans="1:2" x14ac:dyDescent="0.3">
      <c r="A294" t="s">
        <v>83</v>
      </c>
      <c r="B294" t="s">
        <v>90</v>
      </c>
    </row>
    <row r="295" spans="1:2" x14ac:dyDescent="0.3">
      <c r="A295" t="s">
        <v>689</v>
      </c>
      <c r="B295" t="s">
        <v>690</v>
      </c>
    </row>
    <row r="296" spans="1:2" x14ac:dyDescent="0.3">
      <c r="A296" t="s">
        <v>295</v>
      </c>
      <c r="B296" t="s">
        <v>187</v>
      </c>
    </row>
    <row r="297" spans="1:2" x14ac:dyDescent="0.3">
      <c r="A297" t="s">
        <v>343</v>
      </c>
      <c r="B297" t="s">
        <v>344</v>
      </c>
    </row>
    <row r="298" spans="1:2" x14ac:dyDescent="0.3">
      <c r="A298" t="s">
        <v>109</v>
      </c>
      <c r="B298" t="s">
        <v>121</v>
      </c>
    </row>
    <row r="299" spans="1:2" x14ac:dyDescent="0.3">
      <c r="A299" t="s">
        <v>325</v>
      </c>
      <c r="B299" t="s">
        <v>326</v>
      </c>
    </row>
    <row r="300" spans="1:2" x14ac:dyDescent="0.3">
      <c r="A300" t="s">
        <v>442</v>
      </c>
      <c r="B300" t="s">
        <v>443</v>
      </c>
    </row>
    <row r="301" spans="1:2" x14ac:dyDescent="0.3">
      <c r="A301" t="s">
        <v>599</v>
      </c>
      <c r="B301" t="s">
        <v>600</v>
      </c>
    </row>
  </sheetData>
  <sortState xmlns:xlrd2="http://schemas.microsoft.com/office/spreadsheetml/2017/richdata2" ref="A1:C301">
    <sortCondition ref="A1"/>
  </sortState>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1"/>
  <dimension ref="A1:Y12"/>
  <sheetViews>
    <sheetView tabSelected="1" topLeftCell="D1" zoomScale="85" zoomScaleNormal="85" workbookViewId="0">
      <selection activeCell="E11" sqref="E11"/>
    </sheetView>
  </sheetViews>
  <sheetFormatPr defaultRowHeight="16.2" x14ac:dyDescent="0.3"/>
  <cols>
    <col min="1" max="1" width="17" hidden="1" customWidth="1"/>
    <col min="2" max="2" width="10.6640625" hidden="1" customWidth="1"/>
    <col min="3" max="3" width="14.77734375" hidden="1" customWidth="1"/>
    <col min="4" max="4" width="5.109375" customWidth="1"/>
    <col min="5" max="5" width="54.109375" customWidth="1"/>
    <col min="6" max="6" width="11.6640625" hidden="1" customWidth="1"/>
    <col min="7" max="7" width="7.21875" hidden="1" customWidth="1"/>
    <col min="8" max="8" width="10.77734375" customWidth="1"/>
    <col min="10" max="10" width="10.21875" customWidth="1"/>
    <col min="11" max="11" width="13.44140625" customWidth="1"/>
    <col min="12" max="12" width="6.21875" customWidth="1"/>
    <col min="13" max="13" width="4.33203125" customWidth="1"/>
    <col min="15" max="15" width="24.44140625" customWidth="1"/>
    <col min="16" max="16" width="16.109375" hidden="1" customWidth="1"/>
    <col min="17" max="17" width="4.6640625" hidden="1" customWidth="1"/>
    <col min="18" max="18" width="8.109375" customWidth="1"/>
    <col min="19" max="19" width="10.44140625" bestFit="1" customWidth="1"/>
    <col min="23" max="23" width="7.77734375" customWidth="1"/>
    <col min="24" max="24" width="4.88671875" hidden="1" customWidth="1"/>
    <col min="25" max="25" width="6" hidden="1" customWidth="1"/>
  </cols>
  <sheetData>
    <row r="1" spans="1:25" ht="30" customHeight="1" x14ac:dyDescent="0.3">
      <c r="A1">
        <f ca="1">RAND()*(COUNTA(words!A:A)-1)+1</f>
        <v>150.13122301528031</v>
      </c>
      <c r="B1">
        <f>VLOOKUP(1,C2:F8,4,FALSE)</f>
        <v>37</v>
      </c>
      <c r="D1">
        <f>E11</f>
        <v>0</v>
      </c>
      <c r="E1" s="4" t="str" cm="1">
        <f t="array" ref="E1">INDEX(words!A:A,B1,1)</f>
        <v xml:space="preserve">attempt </v>
      </c>
      <c r="H1" s="7"/>
      <c r="I1" s="7"/>
      <c r="J1" s="7"/>
      <c r="K1" s="7"/>
      <c r="L1" s="7"/>
      <c r="P1" t="str">
        <f>IFERROR(VLOOKUP(VLOOKUP(E1,words!A:B,2,FALSE),E2:G8,3,FALSE),"")</f>
        <v>E</v>
      </c>
      <c r="Q1" t="str">
        <f>VLOOKUP($E$1,words!A:C,2,FALSE)</f>
        <v>努力，嘗試</v>
      </c>
      <c r="R1" s="14"/>
      <c r="S1" s="11"/>
      <c r="Y1">
        <v>-50</v>
      </c>
    </row>
    <row r="2" spans="1:25" ht="40.5" customHeight="1" x14ac:dyDescent="0.3">
      <c r="A2">
        <f t="shared" ref="A2:A8" ca="1" si="0">RAND()*8</f>
        <v>2.5295304712996876</v>
      </c>
      <c r="B2">
        <f t="shared" ref="B2:B8" ca="1" si="1">ROUND(A2,1)</f>
        <v>2.5</v>
      </c>
      <c r="C2">
        <v>3</v>
      </c>
      <c r="D2" t="s">
        <v>0</v>
      </c>
      <c r="E2" s="1" t="str">
        <f>INDEX(words!A:B,F2,2)</f>
        <v>加深；（使）變深</v>
      </c>
      <c r="F2">
        <v>95</v>
      </c>
      <c r="G2" t="str">
        <f>D2</f>
        <v>A</v>
      </c>
      <c r="H2" s="10"/>
      <c r="I2" s="10"/>
      <c r="J2" s="10"/>
      <c r="K2" s="10"/>
      <c r="L2" s="10"/>
      <c r="R2">
        <v>0</v>
      </c>
      <c r="S2" s="12"/>
    </row>
    <row r="3" spans="1:25" ht="45" customHeight="1" x14ac:dyDescent="0.3">
      <c r="A3">
        <f t="shared" ca="1" si="0"/>
        <v>3.5555247134618746</v>
      </c>
      <c r="B3">
        <f t="shared" ca="1" si="1"/>
        <v>3.6</v>
      </c>
      <c r="C3">
        <v>6</v>
      </c>
      <c r="D3" t="s">
        <v>1</v>
      </c>
      <c r="E3" s="1" t="str">
        <f>INDEX(words!A:B,F3,2)</f>
        <v>歸因於</v>
      </c>
      <c r="F3">
        <v>38</v>
      </c>
      <c r="G3" t="str">
        <f t="shared" ref="G3:G8" si="2">D3</f>
        <v>B</v>
      </c>
      <c r="H3" s="10"/>
      <c r="I3" s="10"/>
      <c r="J3" s="10"/>
      <c r="K3" s="10"/>
      <c r="L3" s="10"/>
    </row>
    <row r="4" spans="1:25" ht="47.25" customHeight="1" x14ac:dyDescent="0.3">
      <c r="A4">
        <f t="shared" ca="1" si="0"/>
        <v>6.4990945214607665</v>
      </c>
      <c r="B4">
        <f t="shared" ca="1" si="1"/>
        <v>6.5</v>
      </c>
      <c r="C4">
        <v>4</v>
      </c>
      <c r="D4" t="s">
        <v>2</v>
      </c>
      <c r="E4" s="1" t="str">
        <f>INDEX(words!A:B,F4,2)</f>
        <v>促進；促使；使便利</v>
      </c>
      <c r="F4">
        <v>148</v>
      </c>
      <c r="G4" t="str">
        <f t="shared" si="2"/>
        <v>C</v>
      </c>
      <c r="H4" s="10"/>
      <c r="I4" s="10"/>
      <c r="J4" s="10"/>
      <c r="K4" s="10"/>
      <c r="L4" s="10"/>
    </row>
    <row r="5" spans="1:25" ht="43.5" customHeight="1" x14ac:dyDescent="0.3">
      <c r="A5">
        <f t="shared" ca="1" si="0"/>
        <v>5.8170672738898954</v>
      </c>
      <c r="B5">
        <f t="shared" ca="1" si="1"/>
        <v>5.8</v>
      </c>
      <c r="C5">
        <v>5</v>
      </c>
      <c r="D5" t="s">
        <v>3</v>
      </c>
      <c r="E5" s="1" t="str">
        <f>INDEX(words!A:B,F5,2)</f>
        <v>免疫；免除；豁免</v>
      </c>
      <c r="F5">
        <v>169</v>
      </c>
      <c r="G5" t="str">
        <f t="shared" si="2"/>
        <v>D</v>
      </c>
      <c r="H5" s="10"/>
      <c r="I5" s="10"/>
      <c r="J5" s="10"/>
      <c r="K5" s="10"/>
      <c r="L5" s="10"/>
    </row>
    <row r="6" spans="1:25" ht="51" customHeight="1" x14ac:dyDescent="0.3">
      <c r="A6">
        <f t="shared" ca="1" si="0"/>
        <v>4.0781340246754993</v>
      </c>
      <c r="B6">
        <f t="shared" ca="1" si="1"/>
        <v>4.0999999999999996</v>
      </c>
      <c r="C6">
        <v>1</v>
      </c>
      <c r="D6" t="s">
        <v>6</v>
      </c>
      <c r="E6" s="1" t="str">
        <f>INDEX(words!A:B,F6,2)</f>
        <v>努力，嘗試</v>
      </c>
      <c r="F6">
        <v>37</v>
      </c>
      <c r="G6" t="str">
        <f>D6</f>
        <v>E</v>
      </c>
      <c r="H6" s="6"/>
      <c r="I6" s="9"/>
      <c r="J6" s="6"/>
      <c r="K6" s="6"/>
      <c r="L6" s="6"/>
    </row>
    <row r="7" spans="1:25" ht="43.2" customHeight="1" x14ac:dyDescent="0.3">
      <c r="A7">
        <f t="shared" ca="1" si="0"/>
        <v>4.5216626355833203</v>
      </c>
      <c r="B7">
        <f t="shared" ca="1" si="1"/>
        <v>4.5</v>
      </c>
      <c r="C7">
        <v>2</v>
      </c>
      <c r="D7" t="s">
        <v>7</v>
      </c>
      <c r="E7" s="1" t="str">
        <f>INDEX(words!A:B,F7,2)</f>
        <v>聯合；團結</v>
      </c>
      <c r="F7">
        <v>45</v>
      </c>
      <c r="G7" t="str">
        <f t="shared" si="2"/>
        <v>F</v>
      </c>
      <c r="H7" s="6"/>
      <c r="I7" s="6"/>
      <c r="J7" s="6"/>
      <c r="K7" s="6"/>
      <c r="L7" s="6"/>
    </row>
    <row r="8" spans="1:25" ht="41.4" customHeight="1" x14ac:dyDescent="0.3">
      <c r="A8">
        <f t="shared" ca="1" si="0"/>
        <v>3.1433340063765565</v>
      </c>
      <c r="B8">
        <f t="shared" ca="1" si="1"/>
        <v>3.1</v>
      </c>
      <c r="C8">
        <v>7</v>
      </c>
      <c r="D8" t="s">
        <v>8</v>
      </c>
      <c r="E8" s="1" t="str">
        <f>INDEX(words!A:B,F8,2)</f>
        <v>增強</v>
      </c>
      <c r="F8">
        <v>165</v>
      </c>
      <c r="G8" t="str">
        <f t="shared" si="2"/>
        <v>G</v>
      </c>
    </row>
    <row r="9" spans="1:25" x14ac:dyDescent="0.3">
      <c r="G9" t="s">
        <v>497</v>
      </c>
    </row>
    <row r="10" spans="1:25" x14ac:dyDescent="0.3">
      <c r="E10" s="13"/>
    </row>
    <row r="11" spans="1:25" x14ac:dyDescent="0.3">
      <c r="D11" t="s">
        <v>568</v>
      </c>
      <c r="E11" s="13">
        <f>COUNTA(X:X)</f>
        <v>0</v>
      </c>
    </row>
    <row r="12" spans="1:25" ht="32.25" customHeight="1" x14ac:dyDescent="0.3">
      <c r="E12" s="13"/>
      <c r="I12" s="8"/>
      <c r="K12" s="1"/>
    </row>
  </sheetData>
  <sortState xmlns:xlrd2="http://schemas.microsoft.com/office/spreadsheetml/2017/richdata2" ref="A2:C8">
    <sortCondition ref="B2"/>
  </sortState>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49" r:id="rId4" name="chrome_button">
          <controlPr defaultSize="0" autoLine="0" r:id="rId5">
            <anchor moveWithCells="1">
              <from>
                <xdr:col>4</xdr:col>
                <xdr:colOff>2766060</xdr:colOff>
                <xdr:row>7</xdr:row>
                <xdr:rowOff>464820</xdr:rowOff>
              </from>
              <to>
                <xdr:col>4</xdr:col>
                <xdr:colOff>3672840</xdr:colOff>
                <xdr:row>9</xdr:row>
                <xdr:rowOff>7620</xdr:rowOff>
              </to>
            </anchor>
          </controlPr>
        </control>
      </mc:Choice>
      <mc:Fallback>
        <control shapeId="1049" r:id="rId4" name="chrome_button"/>
      </mc:Fallback>
    </mc:AlternateContent>
    <mc:AlternateContent xmlns:mc="http://schemas.openxmlformats.org/markup-compatibility/2006">
      <mc:Choice Requires="x14">
        <control shapeId="1048" r:id="rId6" name="SpinButton1">
          <controlPr defaultSize="0" autoLine="0" r:id="rId7">
            <anchor moveWithCells="1">
              <from>
                <xdr:col>20</xdr:col>
                <xdr:colOff>175260</xdr:colOff>
                <xdr:row>3</xdr:row>
                <xdr:rowOff>251460</xdr:rowOff>
              </from>
              <to>
                <xdr:col>20</xdr:col>
                <xdr:colOff>373380</xdr:colOff>
                <xdr:row>5</xdr:row>
                <xdr:rowOff>373380</xdr:rowOff>
              </to>
            </anchor>
          </controlPr>
        </control>
      </mc:Choice>
      <mc:Fallback>
        <control shapeId="1048" r:id="rId6" name="SpinButton1"/>
      </mc:Fallback>
    </mc:AlternateContent>
    <mc:AlternateContent xmlns:mc="http://schemas.openxmlformats.org/markup-compatibility/2006">
      <mc:Choice Requires="x14">
        <control shapeId="1047" r:id="rId8" name="SpinButton2">
          <controlPr defaultSize="0" autoLine="0" autoPict="0" r:id="rId9">
            <anchor moveWithCells="1">
              <from>
                <xdr:col>11</xdr:col>
                <xdr:colOff>30480</xdr:colOff>
                <xdr:row>0</xdr:row>
                <xdr:rowOff>213360</xdr:rowOff>
              </from>
              <to>
                <xdr:col>14</xdr:col>
                <xdr:colOff>0</xdr:colOff>
                <xdr:row>1</xdr:row>
                <xdr:rowOff>45720</xdr:rowOff>
              </to>
            </anchor>
          </controlPr>
        </control>
      </mc:Choice>
      <mc:Fallback>
        <control shapeId="1047" r:id="rId8" name="SpinButton2"/>
      </mc:Fallback>
    </mc:AlternateContent>
    <mc:AlternateContent xmlns:mc="http://schemas.openxmlformats.org/markup-compatibility/2006">
      <mc:Choice Requires="x14">
        <control shapeId="1039" r:id="rId10" name="option_button">
          <controlPr defaultSize="0" autoLine="0" r:id="rId11">
            <anchor moveWithCells="1">
              <from>
                <xdr:col>4</xdr:col>
                <xdr:colOff>3703320</xdr:colOff>
                <xdr:row>0</xdr:row>
                <xdr:rowOff>114300</xdr:rowOff>
              </from>
              <to>
                <xdr:col>8</xdr:col>
                <xdr:colOff>60960</xdr:colOff>
                <xdr:row>1</xdr:row>
                <xdr:rowOff>0</xdr:rowOff>
              </to>
            </anchor>
          </controlPr>
        </control>
      </mc:Choice>
      <mc:Fallback>
        <control shapeId="1039" r:id="rId10" name="option_button"/>
      </mc:Fallback>
    </mc:AlternateContent>
    <mc:AlternateContent xmlns:mc="http://schemas.openxmlformats.org/markup-compatibility/2006">
      <mc:Choice Requires="x14">
        <control shapeId="1035" r:id="rId12" name="mode">
          <controlPr defaultSize="0" autoLine="0" autoPict="0" r:id="rId13">
            <anchor moveWithCells="1">
              <from>
                <xdr:col>4</xdr:col>
                <xdr:colOff>2849880</xdr:colOff>
                <xdr:row>0</xdr:row>
                <xdr:rowOff>137160</xdr:rowOff>
              </from>
              <to>
                <xdr:col>4</xdr:col>
                <xdr:colOff>3649980</xdr:colOff>
                <xdr:row>0</xdr:row>
                <xdr:rowOff>373380</xdr:rowOff>
              </to>
            </anchor>
          </controlPr>
        </control>
      </mc:Choice>
      <mc:Fallback>
        <control shapeId="1035" r:id="rId12" name="mode"/>
      </mc:Fallback>
    </mc:AlternateContent>
    <mc:AlternateContent xmlns:mc="http://schemas.openxmlformats.org/markup-compatibility/2006">
      <mc:Choice Requires="x14">
        <control shapeId="1032" r:id="rId14" name="start">
          <controlPr defaultSize="0" autoLine="0" r:id="rId15">
            <anchor moveWithCells="1">
              <from>
                <xdr:col>4</xdr:col>
                <xdr:colOff>1493520</xdr:colOff>
                <xdr:row>0</xdr:row>
                <xdr:rowOff>121920</xdr:rowOff>
              </from>
              <to>
                <xdr:col>4</xdr:col>
                <xdr:colOff>2141220</xdr:colOff>
                <xdr:row>1</xdr:row>
                <xdr:rowOff>0</xdr:rowOff>
              </to>
            </anchor>
          </controlPr>
        </control>
      </mc:Choice>
      <mc:Fallback>
        <control shapeId="1032" r:id="rId14" name="start"/>
      </mc:Fallback>
    </mc:AlternateContent>
    <mc:AlternateContent xmlns:mc="http://schemas.openxmlformats.org/markup-compatibility/2006">
      <mc:Choice Requires="x14">
        <control shapeId="1025" r:id="rId16" name="nextbutton">
          <controlPr defaultSize="0" autoLine="0" r:id="rId17">
            <anchor moveWithCells="1">
              <from>
                <xdr:col>4</xdr:col>
                <xdr:colOff>2179320</xdr:colOff>
                <xdr:row>0</xdr:row>
                <xdr:rowOff>121920</xdr:rowOff>
              </from>
              <to>
                <xdr:col>4</xdr:col>
                <xdr:colOff>2796540</xdr:colOff>
                <xdr:row>1</xdr:row>
                <xdr:rowOff>0</xdr:rowOff>
              </to>
            </anchor>
          </controlPr>
        </control>
      </mc:Choice>
      <mc:Fallback>
        <control shapeId="1025" r:id="rId16" name="nextbutton"/>
      </mc:Fallback>
    </mc:AlternateContent>
    <mc:AlternateContent xmlns:mc="http://schemas.openxmlformats.org/markup-compatibility/2006">
      <mc:Choice Requires="x14">
        <control shapeId="1030" r:id="rId18" name="ComboBox1">
          <controlPr defaultSize="0" autoLine="0" r:id="rId19">
            <anchor moveWithCells="1">
              <from>
                <xdr:col>7</xdr:col>
                <xdr:colOff>0</xdr:colOff>
                <xdr:row>10</xdr:row>
                <xdr:rowOff>7620</xdr:rowOff>
              </from>
              <to>
                <xdr:col>7</xdr:col>
                <xdr:colOff>731520</xdr:colOff>
                <xdr:row>10</xdr:row>
                <xdr:rowOff>198120</xdr:rowOff>
              </to>
            </anchor>
          </controlPr>
        </control>
      </mc:Choice>
      <mc:Fallback>
        <control shapeId="1030" r:id="rId18" name="ComboBox1"/>
      </mc:Fallback>
    </mc:AlternateContent>
    <mc:AlternateContent xmlns:mc="http://schemas.openxmlformats.org/markup-compatibility/2006">
      <mc:Choice Requires="x14">
        <control shapeId="1034" r:id="rId20" name="submit">
          <controlPr defaultSize="0" autoLine="0" r:id="rId21">
            <anchor moveWithCells="1">
              <from>
                <xdr:col>4</xdr:col>
                <xdr:colOff>2796540</xdr:colOff>
                <xdr:row>10</xdr:row>
                <xdr:rowOff>0</xdr:rowOff>
              </from>
              <to>
                <xdr:col>4</xdr:col>
                <xdr:colOff>3451860</xdr:colOff>
                <xdr:row>11</xdr:row>
                <xdr:rowOff>45720</xdr:rowOff>
              </to>
            </anchor>
          </controlPr>
        </control>
      </mc:Choice>
      <mc:Fallback>
        <control shapeId="1034" r:id="rId20" name="submit"/>
      </mc:Fallback>
    </mc:AlternateContent>
    <mc:AlternateContent xmlns:mc="http://schemas.openxmlformats.org/markup-compatibility/2006">
      <mc:Choice Requires="x14">
        <control shapeId="1038" r:id="rId22" name="go_button">
          <controlPr defaultSize="0" autoLine="0" r:id="rId23">
            <anchor moveWithCells="1">
              <from>
                <xdr:col>4</xdr:col>
                <xdr:colOff>3688080</xdr:colOff>
                <xdr:row>1</xdr:row>
                <xdr:rowOff>60960</xdr:rowOff>
              </from>
              <to>
                <xdr:col>7</xdr:col>
                <xdr:colOff>723900</xdr:colOff>
                <xdr:row>1</xdr:row>
                <xdr:rowOff>350520</xdr:rowOff>
              </to>
            </anchor>
          </controlPr>
        </control>
      </mc:Choice>
      <mc:Fallback>
        <control shapeId="1038" r:id="rId22" name="go_button"/>
      </mc:Fallback>
    </mc:AlternateContent>
    <mc:AlternateContent xmlns:mc="http://schemas.openxmlformats.org/markup-compatibility/2006">
      <mc:Choice Requires="x14">
        <control shapeId="1050" r:id="rId24" name="loadLast">
          <controlPr defaultSize="0" autoLine="0" r:id="rId25">
            <anchor moveWithCells="1">
              <from>
                <xdr:col>4</xdr:col>
                <xdr:colOff>1722120</xdr:colOff>
                <xdr:row>7</xdr:row>
                <xdr:rowOff>464820</xdr:rowOff>
              </from>
              <to>
                <xdr:col>4</xdr:col>
                <xdr:colOff>2735580</xdr:colOff>
                <xdr:row>9</xdr:row>
                <xdr:rowOff>22860</xdr:rowOff>
              </to>
            </anchor>
          </controlPr>
        </control>
      </mc:Choice>
      <mc:Fallback>
        <control shapeId="1050" r:id="rId24" name="loadLas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2"/>
  <dimension ref="A1:G54"/>
  <sheetViews>
    <sheetView zoomScaleNormal="100" workbookViewId="0">
      <selection activeCell="B1" sqref="B1"/>
    </sheetView>
  </sheetViews>
  <sheetFormatPr defaultRowHeight="16.2" x14ac:dyDescent="0.3"/>
  <cols>
    <col min="2" max="2" width="45.88671875" customWidth="1"/>
    <col min="3" max="3" width="23.88671875" customWidth="1"/>
    <col min="4" max="4" width="27.88671875" customWidth="1"/>
    <col min="5" max="5" width="18.88671875" customWidth="1"/>
    <col min="6" max="6" width="27.77734375" customWidth="1"/>
    <col min="7" max="7" width="28.21875" customWidth="1"/>
    <col min="8" max="9" width="14.33203125" customWidth="1"/>
  </cols>
  <sheetData>
    <row r="1" spans="1:7" ht="32.4" x14ac:dyDescent="0.3">
      <c r="A1">
        <v>1</v>
      </c>
      <c r="B1" s="1" t="s">
        <v>5</v>
      </c>
      <c r="C1" s="1" t="s">
        <v>4</v>
      </c>
      <c r="D1" s="1"/>
      <c r="E1" s="1"/>
      <c r="F1" s="1"/>
    </row>
    <row r="2" spans="1:7" ht="32.4" x14ac:dyDescent="0.3">
      <c r="A2">
        <v>2</v>
      </c>
      <c r="B2" s="1" t="s">
        <v>12</v>
      </c>
      <c r="C2" t="s">
        <v>9</v>
      </c>
    </row>
    <row r="3" spans="1:7" x14ac:dyDescent="0.3">
      <c r="A3">
        <v>3</v>
      </c>
      <c r="B3" s="1" t="s">
        <v>13</v>
      </c>
      <c r="C3" t="s">
        <v>10</v>
      </c>
    </row>
    <row r="4" spans="1:7" x14ac:dyDescent="0.3">
      <c r="A4">
        <v>4</v>
      </c>
      <c r="B4" s="1" t="s">
        <v>14</v>
      </c>
      <c r="C4" t="s">
        <v>11</v>
      </c>
    </row>
    <row r="5" spans="1:7" ht="90" customHeight="1" x14ac:dyDescent="0.3">
      <c r="A5">
        <v>5</v>
      </c>
      <c r="B5" s="1" t="s">
        <v>15</v>
      </c>
      <c r="C5" s="1" t="s">
        <v>4</v>
      </c>
      <c r="D5" s="1"/>
      <c r="E5" s="1"/>
      <c r="F5" s="1"/>
      <c r="G5" s="1"/>
    </row>
    <row r="6" spans="1:7" ht="113.25" customHeight="1" x14ac:dyDescent="0.3">
      <c r="A6">
        <v>6</v>
      </c>
      <c r="B6" s="1" t="s">
        <v>15</v>
      </c>
      <c r="C6" s="1" t="s">
        <v>16</v>
      </c>
      <c r="E6" s="1"/>
      <c r="F6" s="1"/>
      <c r="G6" s="1"/>
    </row>
    <row r="7" spans="1:7" ht="180" customHeight="1" x14ac:dyDescent="0.3">
      <c r="A7">
        <v>7</v>
      </c>
      <c r="B7" s="1" t="s">
        <v>21</v>
      </c>
      <c r="C7" t="s">
        <v>17</v>
      </c>
      <c r="D7" s="1"/>
      <c r="E7" s="1"/>
      <c r="F7" s="1"/>
      <c r="G7" s="1"/>
    </row>
    <row r="8" spans="1:7" ht="32.4" x14ac:dyDescent="0.3">
      <c r="A8">
        <v>8</v>
      </c>
      <c r="B8" s="1" t="s">
        <v>15</v>
      </c>
      <c r="C8" s="1" t="s">
        <v>18</v>
      </c>
      <c r="D8" s="1"/>
      <c r="E8" s="1"/>
      <c r="F8" s="1"/>
      <c r="G8" s="1"/>
    </row>
    <row r="9" spans="1:7" ht="64.8" x14ac:dyDescent="0.3">
      <c r="A9">
        <v>9</v>
      </c>
      <c r="B9" s="1" t="s">
        <v>22</v>
      </c>
      <c r="C9" s="1" t="s">
        <v>19</v>
      </c>
      <c r="D9" s="1"/>
      <c r="E9" s="1"/>
    </row>
    <row r="10" spans="1:7" ht="32.4" x14ac:dyDescent="0.3">
      <c r="A10">
        <v>10</v>
      </c>
      <c r="B10" s="1" t="s">
        <v>23</v>
      </c>
      <c r="C10" s="1" t="s">
        <v>4</v>
      </c>
      <c r="D10" s="1"/>
      <c r="E10" s="1"/>
      <c r="F10" s="1"/>
      <c r="G10" s="1"/>
    </row>
    <row r="11" spans="1:7" ht="32.4" x14ac:dyDescent="0.3">
      <c r="A11">
        <v>11</v>
      </c>
      <c r="B11" s="1" t="s">
        <v>23</v>
      </c>
      <c r="C11" s="1" t="s">
        <v>20</v>
      </c>
      <c r="D11" s="1"/>
      <c r="E11" s="1"/>
      <c r="F11" s="1"/>
      <c r="G11" s="1"/>
    </row>
    <row r="12" spans="1:7" ht="48.6" x14ac:dyDescent="0.3">
      <c r="A12">
        <v>12</v>
      </c>
      <c r="B12" s="1" t="s">
        <v>24</v>
      </c>
      <c r="C12" s="1" t="s">
        <v>4</v>
      </c>
      <c r="D12" s="1"/>
      <c r="E12" s="1"/>
      <c r="F12" s="1"/>
    </row>
    <row r="13" spans="1:7" ht="48.6" x14ac:dyDescent="0.3">
      <c r="A13">
        <v>13</v>
      </c>
      <c r="B13" s="1" t="s">
        <v>26</v>
      </c>
      <c r="C13" s="1" t="s">
        <v>25</v>
      </c>
      <c r="D13" s="1"/>
      <c r="E13" s="1"/>
      <c r="F13" s="1"/>
    </row>
    <row r="14" spans="1:7" ht="48.6" x14ac:dyDescent="0.3">
      <c r="A14">
        <v>14</v>
      </c>
      <c r="B14" s="1" t="s">
        <v>27</v>
      </c>
      <c r="C14" s="1" t="s">
        <v>31</v>
      </c>
    </row>
    <row r="15" spans="1:7" ht="64.8" x14ac:dyDescent="0.3">
      <c r="A15">
        <v>15</v>
      </c>
      <c r="B15" s="1" t="s">
        <v>28</v>
      </c>
      <c r="C15" s="1" t="s">
        <v>30</v>
      </c>
    </row>
    <row r="16" spans="1:7" ht="64.8" x14ac:dyDescent="0.3">
      <c r="A16">
        <v>16</v>
      </c>
      <c r="B16" s="1" t="s">
        <v>32</v>
      </c>
      <c r="C16" s="1" t="s">
        <v>29</v>
      </c>
    </row>
    <row r="17" spans="1:7" ht="204.75" customHeight="1" x14ac:dyDescent="0.3">
      <c r="A17">
        <v>17</v>
      </c>
      <c r="B17" s="1" t="s">
        <v>33</v>
      </c>
      <c r="C17" s="1" t="s">
        <v>4</v>
      </c>
      <c r="D17" s="1"/>
      <c r="E17" s="1"/>
      <c r="F17" s="1"/>
      <c r="G17" s="1"/>
    </row>
    <row r="18" spans="1:7" ht="113.4" x14ac:dyDescent="0.3">
      <c r="A18">
        <v>18</v>
      </c>
      <c r="B18" s="1" t="s">
        <v>35</v>
      </c>
      <c r="C18" s="1" t="s">
        <v>34</v>
      </c>
      <c r="D18" s="1"/>
      <c r="E18" s="1"/>
      <c r="F18" s="1"/>
      <c r="G18" s="1"/>
    </row>
    <row r="19" spans="1:7" ht="48.6" x14ac:dyDescent="0.3">
      <c r="A19">
        <v>19</v>
      </c>
      <c r="B19" s="1" t="s">
        <v>37</v>
      </c>
      <c r="C19" s="1" t="s">
        <v>36</v>
      </c>
    </row>
    <row r="20" spans="1:7" ht="48.6" x14ac:dyDescent="0.3">
      <c r="A20">
        <v>20</v>
      </c>
      <c r="B20" s="1" t="s">
        <v>39</v>
      </c>
      <c r="C20" t="s">
        <v>38</v>
      </c>
      <c r="D20" s="1"/>
    </row>
    <row r="21" spans="1:7" ht="64.8" x14ac:dyDescent="0.3">
      <c r="A21">
        <v>21</v>
      </c>
      <c r="B21" s="1" t="s">
        <v>40</v>
      </c>
      <c r="C21" s="1" t="s">
        <v>4</v>
      </c>
    </row>
    <row r="22" spans="1:7" ht="64.8" x14ac:dyDescent="0.3">
      <c r="A22">
        <v>22</v>
      </c>
      <c r="B22" s="1" t="s">
        <v>40</v>
      </c>
      <c r="C22" s="1" t="s">
        <v>41</v>
      </c>
      <c r="D22" s="1"/>
      <c r="E22" s="1"/>
    </row>
    <row r="23" spans="1:7" ht="162" x14ac:dyDescent="0.3">
      <c r="A23">
        <v>23</v>
      </c>
      <c r="B23" s="1" t="s">
        <v>45</v>
      </c>
      <c r="C23" s="1" t="s">
        <v>42</v>
      </c>
    </row>
    <row r="24" spans="1:7" ht="178.2" x14ac:dyDescent="0.3">
      <c r="A24">
        <v>24</v>
      </c>
      <c r="B24" s="1" t="s">
        <v>44</v>
      </c>
      <c r="C24" s="1" t="s">
        <v>43</v>
      </c>
    </row>
    <row r="25" spans="1:7" ht="178.2" x14ac:dyDescent="0.3">
      <c r="A25">
        <v>25</v>
      </c>
      <c r="B25" s="1" t="s">
        <v>47</v>
      </c>
      <c r="C25" s="1" t="s">
        <v>46</v>
      </c>
    </row>
    <row r="26" spans="1:7" ht="32.4" x14ac:dyDescent="0.3">
      <c r="A26">
        <v>26</v>
      </c>
      <c r="B26" s="1" t="s">
        <v>48</v>
      </c>
      <c r="C26" s="1" t="s">
        <v>4</v>
      </c>
      <c r="D26" s="3"/>
      <c r="E26" s="3"/>
      <c r="F26" s="3"/>
      <c r="G26" s="3"/>
    </row>
    <row r="27" spans="1:7" ht="64.8" x14ac:dyDescent="0.3">
      <c r="A27">
        <v>27</v>
      </c>
      <c r="B27" s="1" t="s">
        <v>49</v>
      </c>
      <c r="C27" s="2" t="s">
        <v>50</v>
      </c>
    </row>
    <row r="28" spans="1:7" ht="81" x14ac:dyDescent="0.3">
      <c r="A28">
        <v>28</v>
      </c>
      <c r="B28" s="1" t="s">
        <v>51</v>
      </c>
      <c r="C28" s="1" t="s">
        <v>4</v>
      </c>
      <c r="D28" s="1"/>
      <c r="F28" s="1"/>
      <c r="G28" s="1"/>
    </row>
    <row r="29" spans="1:7" ht="210.6" x14ac:dyDescent="0.3">
      <c r="A29">
        <v>29</v>
      </c>
      <c r="B29" s="1" t="s">
        <v>52</v>
      </c>
      <c r="C29" s="1">
        <v>0.3</v>
      </c>
    </row>
    <row r="30" spans="1:7" ht="210.6" x14ac:dyDescent="0.3">
      <c r="A30">
        <v>30</v>
      </c>
      <c r="B30" s="1" t="s">
        <v>53</v>
      </c>
      <c r="C30" t="s">
        <v>54</v>
      </c>
    </row>
    <row r="31" spans="1:7" ht="64.8" x14ac:dyDescent="0.3">
      <c r="A31">
        <v>31</v>
      </c>
      <c r="B31" s="1" t="s">
        <v>55</v>
      </c>
      <c r="C31" s="1" t="s">
        <v>56</v>
      </c>
    </row>
    <row r="32" spans="1:7" ht="32.4" x14ac:dyDescent="0.3">
      <c r="A32">
        <v>32</v>
      </c>
      <c r="B32" s="1" t="s">
        <v>57</v>
      </c>
      <c r="C32">
        <v>0.2</v>
      </c>
    </row>
    <row r="33" spans="1:6" ht="81" x14ac:dyDescent="0.3">
      <c r="A33">
        <v>33</v>
      </c>
      <c r="B33" s="1" t="s">
        <v>58</v>
      </c>
      <c r="C33" s="1" t="s">
        <v>59</v>
      </c>
    </row>
    <row r="34" spans="1:6" ht="113.4" x14ac:dyDescent="0.3">
      <c r="A34">
        <v>34</v>
      </c>
      <c r="B34" s="5" t="s">
        <v>60</v>
      </c>
      <c r="C34">
        <v>0.6</v>
      </c>
    </row>
    <row r="35" spans="1:6" ht="48.6" x14ac:dyDescent="0.3">
      <c r="A35">
        <v>35</v>
      </c>
      <c r="B35" s="1" t="s">
        <v>62</v>
      </c>
      <c r="C35" s="1" t="s">
        <v>61</v>
      </c>
    </row>
    <row r="36" spans="1:6" ht="48.6" x14ac:dyDescent="0.3">
      <c r="A36">
        <v>36</v>
      </c>
      <c r="B36" s="1" t="s">
        <v>63</v>
      </c>
      <c r="C36">
        <v>0.2</v>
      </c>
    </row>
    <row r="37" spans="1:6" ht="48.6" x14ac:dyDescent="0.3">
      <c r="A37">
        <v>37</v>
      </c>
      <c r="B37" s="1" t="s">
        <v>64</v>
      </c>
      <c r="C37" s="1">
        <v>1.5</v>
      </c>
    </row>
    <row r="38" spans="1:6" ht="32.4" x14ac:dyDescent="0.3">
      <c r="A38">
        <v>38</v>
      </c>
      <c r="B38" s="1" t="s">
        <v>65</v>
      </c>
      <c r="C38">
        <v>1.5</v>
      </c>
    </row>
    <row r="39" spans="1:6" ht="48.6" x14ac:dyDescent="0.3">
      <c r="A39">
        <v>39</v>
      </c>
      <c r="B39" s="1" t="s">
        <v>66</v>
      </c>
      <c r="C39" s="1">
        <v>1.5</v>
      </c>
    </row>
    <row r="40" spans="1:6" x14ac:dyDescent="0.3">
      <c r="A40">
        <v>40</v>
      </c>
      <c r="B40" s="1" t="s">
        <v>67</v>
      </c>
      <c r="C40" t="s">
        <v>56</v>
      </c>
    </row>
    <row r="41" spans="1:6" ht="32.4" x14ac:dyDescent="0.3">
      <c r="A41">
        <v>41</v>
      </c>
      <c r="B41" s="1" t="s">
        <v>69</v>
      </c>
      <c r="C41" s="1">
        <v>0.25</v>
      </c>
    </row>
    <row r="42" spans="1:6" x14ac:dyDescent="0.3">
      <c r="A42">
        <v>42</v>
      </c>
      <c r="B42" t="s">
        <v>70</v>
      </c>
      <c r="C42" t="s">
        <v>4</v>
      </c>
      <c r="D42" s="1"/>
      <c r="E42" s="1"/>
      <c r="F42" s="1"/>
    </row>
    <row r="43" spans="1:6" ht="63" customHeight="1" x14ac:dyDescent="0.3">
      <c r="A43">
        <v>43</v>
      </c>
      <c r="B43" s="1" t="s">
        <v>71</v>
      </c>
      <c r="C43" s="1" t="s">
        <v>68</v>
      </c>
      <c r="D43" s="1"/>
    </row>
    <row r="44" spans="1:6" ht="64.8" x14ac:dyDescent="0.3">
      <c r="A44">
        <v>44</v>
      </c>
      <c r="B44" s="1" t="s">
        <v>72</v>
      </c>
      <c r="C44" t="s">
        <v>61</v>
      </c>
    </row>
    <row r="45" spans="1:6" ht="32.4" x14ac:dyDescent="0.3">
      <c r="A45">
        <v>45</v>
      </c>
      <c r="B45" s="1" t="s">
        <v>73</v>
      </c>
      <c r="C45" s="1" t="s">
        <v>4</v>
      </c>
      <c r="D45" s="1"/>
      <c r="E45" s="1"/>
      <c r="F45" s="1"/>
    </row>
    <row r="46" spans="1:6" ht="157.19999999999999" x14ac:dyDescent="0.3">
      <c r="A46">
        <v>46</v>
      </c>
      <c r="B46" s="1" t="s">
        <v>76</v>
      </c>
      <c r="C46" s="1">
        <v>0.05</v>
      </c>
      <c r="D46" s="1"/>
      <c r="E46" s="1"/>
      <c r="F46" s="1"/>
    </row>
    <row r="47" spans="1:6" ht="222" x14ac:dyDescent="0.3">
      <c r="A47">
        <v>47</v>
      </c>
      <c r="B47" s="1" t="s">
        <v>77</v>
      </c>
      <c r="C47" s="1">
        <v>0.1</v>
      </c>
      <c r="D47" s="1"/>
      <c r="E47" s="1"/>
      <c r="F47" s="1"/>
    </row>
    <row r="48" spans="1:6" ht="222" x14ac:dyDescent="0.3">
      <c r="A48">
        <v>48</v>
      </c>
      <c r="B48" s="1" t="s">
        <v>78</v>
      </c>
      <c r="C48" s="1">
        <v>500</v>
      </c>
      <c r="D48" s="1"/>
      <c r="E48" s="1"/>
      <c r="F48" s="1"/>
    </row>
    <row r="49" spans="1:7" x14ac:dyDescent="0.3">
      <c r="A49">
        <v>49</v>
      </c>
      <c r="B49" s="1" t="s">
        <v>74</v>
      </c>
      <c r="C49" t="s">
        <v>4</v>
      </c>
      <c r="D49" s="1"/>
      <c r="E49" s="1"/>
      <c r="F49" s="1"/>
      <c r="G49" s="1"/>
    </row>
    <row r="50" spans="1:7" ht="39.6" customHeight="1" x14ac:dyDescent="0.3">
      <c r="A50">
        <v>50</v>
      </c>
      <c r="B50" s="1" t="s">
        <v>75</v>
      </c>
      <c r="C50">
        <v>1</v>
      </c>
    </row>
    <row r="51" spans="1:7" ht="157.19999999999999" x14ac:dyDescent="0.3">
      <c r="A51">
        <v>51</v>
      </c>
      <c r="B51" s="1" t="s">
        <v>79</v>
      </c>
      <c r="C51" s="1">
        <v>200</v>
      </c>
    </row>
    <row r="52" spans="1:7" ht="157.19999999999999" x14ac:dyDescent="0.3">
      <c r="A52">
        <v>52</v>
      </c>
      <c r="B52" s="1" t="s">
        <v>80</v>
      </c>
      <c r="C52" s="1">
        <v>100</v>
      </c>
    </row>
    <row r="53" spans="1:7" ht="124.8" x14ac:dyDescent="0.3">
      <c r="A53">
        <v>53</v>
      </c>
      <c r="B53" s="1" t="s">
        <v>81</v>
      </c>
      <c r="C53" s="1">
        <v>3.5</v>
      </c>
    </row>
    <row r="54" spans="1:7" ht="124.8" x14ac:dyDescent="0.3">
      <c r="A54">
        <v>54</v>
      </c>
      <c r="B54" s="1" t="s">
        <v>82</v>
      </c>
      <c r="C54" s="1">
        <v>1.5</v>
      </c>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3"/>
  <dimension ref="A1:M5"/>
  <sheetViews>
    <sheetView zoomScaleNormal="100" workbookViewId="0">
      <selection activeCell="H13" sqref="H13"/>
    </sheetView>
  </sheetViews>
  <sheetFormatPr defaultRowHeight="16.2" x14ac:dyDescent="0.3"/>
  <cols>
    <col min="1" max="1" width="13.33203125" customWidth="1"/>
    <col min="2" max="2" width="3.33203125" hidden="1" customWidth="1"/>
    <col min="4" max="4" width="7.109375" customWidth="1"/>
    <col min="5" max="5" width="12" customWidth="1"/>
    <col min="7" max="7" width="7.33203125" hidden="1" customWidth="1"/>
    <col min="11" max="11" width="14.21875" hidden="1" customWidth="1"/>
    <col min="12" max="12" width="14.33203125" customWidth="1"/>
  </cols>
  <sheetData>
    <row r="1" spans="1:13" x14ac:dyDescent="0.3">
      <c r="A1" t="s">
        <v>570</v>
      </c>
      <c r="B1" t="s">
        <v>569</v>
      </c>
      <c r="E1" t="s">
        <v>570</v>
      </c>
      <c r="G1" t="s">
        <v>571</v>
      </c>
      <c r="K1">
        <v>211</v>
      </c>
      <c r="L1" t="s">
        <v>262</v>
      </c>
      <c r="M1">
        <f>COUNTA(K:K)</f>
        <v>1</v>
      </c>
    </row>
    <row r="2" spans="1:13" x14ac:dyDescent="0.3">
      <c r="A2" t="s">
        <v>234</v>
      </c>
    </row>
    <row r="5" spans="1:13" ht="21" customHeight="1" x14ac:dyDescent="0.3">
      <c r="E5" t="s">
        <v>261</v>
      </c>
      <c r="F5">
        <v>3</v>
      </c>
    </row>
  </sheetData>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052" r:id="rId4" name="CommandButton1">
          <controlPr defaultSize="0" autoLine="0" r:id="rId5">
            <anchor moveWithCells="1">
              <from>
                <xdr:col>2</xdr:col>
                <xdr:colOff>99060</xdr:colOff>
                <xdr:row>4</xdr:row>
                <xdr:rowOff>22860</xdr:rowOff>
              </from>
              <to>
                <xdr:col>3</xdr:col>
                <xdr:colOff>91440</xdr:colOff>
                <xdr:row>5</xdr:row>
                <xdr:rowOff>7620</xdr:rowOff>
              </to>
            </anchor>
          </controlPr>
        </control>
      </mc:Choice>
      <mc:Fallback>
        <control shapeId="2052" r:id="rId4" name="CommandButton1"/>
      </mc:Fallback>
    </mc:AlternateContent>
    <mc:AlternateContent xmlns:mc="http://schemas.openxmlformats.org/markup-compatibility/2006">
      <mc:Choice Requires="x14">
        <control shapeId="2051" r:id="rId6" name="TextBox1">
          <controlPr defaultSize="0" autoLine="0" autoPict="0" r:id="rId7">
            <anchor moveWithCells="1">
              <from>
                <xdr:col>0</xdr:col>
                <xdr:colOff>38100</xdr:colOff>
                <xdr:row>4</xdr:row>
                <xdr:rowOff>38100</xdr:rowOff>
              </from>
              <to>
                <xdr:col>0</xdr:col>
                <xdr:colOff>861060</xdr:colOff>
                <xdr:row>5</xdr:row>
                <xdr:rowOff>0</xdr:rowOff>
              </to>
            </anchor>
          </controlPr>
        </control>
      </mc:Choice>
      <mc:Fallback>
        <control shapeId="2051" r:id="rId6" name="TextBox1"/>
      </mc:Fallback>
    </mc:AlternateContent>
    <mc:AlternateContent xmlns:mc="http://schemas.openxmlformats.org/markup-compatibility/2006">
      <mc:Choice Requires="x14">
        <control shapeId="2049" r:id="rId8" name="nextbutton">
          <controlPr defaultSize="0" autoLine="0" r:id="rId9">
            <anchor moveWithCells="1">
              <from>
                <xdr:col>2</xdr:col>
                <xdr:colOff>60960</xdr:colOff>
                <xdr:row>5</xdr:row>
                <xdr:rowOff>83820</xdr:rowOff>
              </from>
              <to>
                <xdr:col>3</xdr:col>
                <xdr:colOff>76200</xdr:colOff>
                <xdr:row>6</xdr:row>
                <xdr:rowOff>121920</xdr:rowOff>
              </to>
            </anchor>
          </controlPr>
        </control>
      </mc:Choice>
      <mc:Fallback>
        <control shapeId="2049" r:id="rId8" name="nextbutton"/>
      </mc:Fallback>
    </mc:AlternateContent>
    <mc:AlternateContent xmlns:mc="http://schemas.openxmlformats.org/markup-compatibility/2006">
      <mc:Choice Requires="x14">
        <control shapeId="2050" r:id="rId10" name="submitbutton">
          <controlPr defaultSize="0" autoLine="0" r:id="rId11">
            <anchor moveWithCells="1">
              <from>
                <xdr:col>2</xdr:col>
                <xdr:colOff>60960</xdr:colOff>
                <xdr:row>6</xdr:row>
                <xdr:rowOff>190500</xdr:rowOff>
              </from>
              <to>
                <xdr:col>3</xdr:col>
                <xdr:colOff>83820</xdr:colOff>
                <xdr:row>8</xdr:row>
                <xdr:rowOff>22860</xdr:rowOff>
              </to>
            </anchor>
          </controlPr>
        </control>
      </mc:Choice>
      <mc:Fallback>
        <control shapeId="2050" r:id="rId10" name="submitbutton"/>
      </mc:Fallback>
    </mc:AlternateContent>
    <mc:AlternateContent xmlns:mc="http://schemas.openxmlformats.org/markup-compatibility/2006">
      <mc:Choice Requires="x14">
        <control shapeId="2053" r:id="rId12" name="load_last">
          <controlPr defaultSize="0" autoLine="0" r:id="rId13">
            <anchor moveWithCells="1">
              <from>
                <xdr:col>2</xdr:col>
                <xdr:colOff>45720</xdr:colOff>
                <xdr:row>8</xdr:row>
                <xdr:rowOff>99060</xdr:rowOff>
              </from>
              <to>
                <xdr:col>3</xdr:col>
                <xdr:colOff>0</xdr:colOff>
                <xdr:row>9</xdr:row>
                <xdr:rowOff>114300</xdr:rowOff>
              </to>
            </anchor>
          </controlPr>
        </control>
      </mc:Choice>
      <mc:Fallback>
        <control shapeId="2053" r:id="rId12" name="load_last"/>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4</vt:i4>
      </vt:variant>
      <vt:variant>
        <vt:lpstr>具名範圍</vt:lpstr>
      </vt:variant>
      <vt:variant>
        <vt:i4>6</vt:i4>
      </vt:variant>
    </vt:vector>
  </HeadingPairs>
  <TitlesOfParts>
    <vt:vector size="10" baseType="lpstr">
      <vt:lpstr>words</vt:lpstr>
      <vt:lpstr>工作表1</vt:lpstr>
      <vt:lpstr>工作表2</vt:lpstr>
      <vt:lpstr>工作表3</vt:lpstr>
      <vt:lpstr>answer</vt:lpstr>
      <vt:lpstr>output</vt:lpstr>
      <vt:lpstr>outputanswer</vt:lpstr>
      <vt:lpstr>selectanswer</vt:lpstr>
      <vt:lpstr>Total</vt:lpstr>
      <vt:lpstr>view</vt:lpstr>
    </vt:vector>
  </TitlesOfParts>
  <Company>HKHA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Hong Kong Housing Authority</dc:creator>
  <cp:lastModifiedBy>Steve</cp:lastModifiedBy>
  <dcterms:created xsi:type="dcterms:W3CDTF">2019-08-10T08:15:27Z</dcterms:created>
  <dcterms:modified xsi:type="dcterms:W3CDTF">2021-05-22T16:41:41Z</dcterms:modified>
</cp:coreProperties>
</file>